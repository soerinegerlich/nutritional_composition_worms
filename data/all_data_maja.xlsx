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data/"/>
    </mc:Choice>
  </mc:AlternateContent>
  <xr:revisionPtr revIDLastSave="2334" documentId="13_ncr:1_{69AA011C-8FDE-4560-B4A9-3CDAF1AE449A}" xr6:coauthVersionLast="47" xr6:coauthVersionMax="47" xr10:uidLastSave="{20F51B2F-B51C-429F-98FA-09ECA1D049E9}"/>
  <bookViews>
    <workbookView xWindow="-110" yWindow="-110" windowWidth="38620" windowHeight="21100" activeTab="1" xr2:uid="{3BE16F28-A070-47BA-8D4D-55269D5D6CB4}"/>
  </bookViews>
  <sheets>
    <sheet name="raw_data" sheetId="2" r:id="rId1"/>
    <sheet name="raw_data_simplified" sheetId="10" r:id="rId2"/>
    <sheet name="Treatment composition" sheetId="1" r:id="rId3"/>
    <sheet name="Raw - food FA" sheetId="3" r:id="rId4"/>
    <sheet name="food_protein_fa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12" i="10" l="1"/>
  <c r="Q112" i="10"/>
  <c r="P112" i="10"/>
  <c r="O112" i="10"/>
  <c r="R111" i="10"/>
  <c r="Q111" i="10"/>
  <c r="P111" i="10"/>
  <c r="O111" i="10"/>
  <c r="R110" i="10"/>
  <c r="Q110" i="10"/>
  <c r="P110" i="10"/>
  <c r="O110" i="10"/>
  <c r="R109" i="10"/>
  <c r="Q109" i="10"/>
  <c r="P109" i="10"/>
  <c r="O109" i="10"/>
  <c r="R108" i="10"/>
  <c r="Q108" i="10"/>
  <c r="P108" i="10"/>
  <c r="O108" i="10"/>
  <c r="R107" i="10"/>
  <c r="Q107" i="10"/>
  <c r="P107" i="10"/>
  <c r="O107" i="10"/>
  <c r="R106" i="10"/>
  <c r="Q106" i="10"/>
  <c r="P106" i="10"/>
  <c r="O106" i="10"/>
  <c r="R105" i="10"/>
  <c r="Q105" i="10"/>
  <c r="P105" i="10"/>
  <c r="O105" i="10"/>
  <c r="R104" i="10"/>
  <c r="Q104" i="10"/>
  <c r="P104" i="10"/>
  <c r="O104" i="10"/>
  <c r="R103" i="10"/>
  <c r="Q103" i="10"/>
  <c r="P103" i="10"/>
  <c r="O103" i="10"/>
  <c r="R102" i="10"/>
  <c r="Q102" i="10"/>
  <c r="P102" i="10"/>
  <c r="O102" i="10"/>
  <c r="R101" i="10"/>
  <c r="Q101" i="10"/>
  <c r="P101" i="10"/>
  <c r="O101" i="10"/>
  <c r="R100" i="10"/>
  <c r="Q100" i="10"/>
  <c r="P100" i="10"/>
  <c r="O100" i="10"/>
  <c r="R99" i="10"/>
  <c r="Q99" i="10"/>
  <c r="P99" i="10"/>
  <c r="O99" i="10"/>
  <c r="R98" i="10"/>
  <c r="Q98" i="10"/>
  <c r="P98" i="10"/>
  <c r="O98" i="10"/>
  <c r="R97" i="10"/>
  <c r="Q97" i="10"/>
  <c r="P97" i="10"/>
  <c r="O97" i="10"/>
  <c r="R96" i="10"/>
  <c r="Q96" i="10"/>
  <c r="P96" i="10"/>
  <c r="O96" i="10"/>
  <c r="R95" i="10"/>
  <c r="Q95" i="10"/>
  <c r="P95" i="10"/>
  <c r="O95" i="10"/>
  <c r="R94" i="10"/>
  <c r="Q94" i="10"/>
  <c r="P94" i="10"/>
  <c r="O94" i="10"/>
  <c r="R93" i="10"/>
  <c r="Q93" i="10"/>
  <c r="P93" i="10"/>
  <c r="O93" i="10"/>
  <c r="R92" i="10"/>
  <c r="Q92" i="10"/>
  <c r="P92" i="10"/>
  <c r="O92" i="10"/>
  <c r="R91" i="10"/>
  <c r="Q91" i="10"/>
  <c r="P91" i="10"/>
  <c r="O91" i="10"/>
  <c r="R90" i="10"/>
  <c r="Q90" i="10"/>
  <c r="P90" i="10"/>
  <c r="O90" i="10"/>
  <c r="R89" i="10"/>
  <c r="Q89" i="10"/>
  <c r="P89" i="10"/>
  <c r="O89" i="10"/>
  <c r="R88" i="10"/>
  <c r="Q88" i="10"/>
  <c r="P88" i="10"/>
  <c r="O88" i="10"/>
  <c r="R87" i="10"/>
  <c r="Q87" i="10"/>
  <c r="P87" i="10"/>
  <c r="O87" i="10"/>
  <c r="R86" i="10"/>
  <c r="Q86" i="10"/>
  <c r="P86" i="10"/>
  <c r="O86" i="10"/>
  <c r="R85" i="10"/>
  <c r="Q85" i="10"/>
  <c r="P85" i="10"/>
  <c r="O85" i="10"/>
  <c r="R84" i="10"/>
  <c r="Q84" i="10"/>
  <c r="P84" i="10"/>
  <c r="O84" i="10"/>
  <c r="R83" i="10"/>
  <c r="Q83" i="10"/>
  <c r="P83" i="10"/>
  <c r="O83" i="10"/>
  <c r="R82" i="10"/>
  <c r="Q82" i="10"/>
  <c r="P82" i="10"/>
  <c r="O82" i="10"/>
  <c r="R81" i="10"/>
  <c r="Q81" i="10"/>
  <c r="P81" i="10"/>
  <c r="O81" i="10"/>
  <c r="R80" i="10"/>
  <c r="Q80" i="10"/>
  <c r="P80" i="10"/>
  <c r="O80" i="10"/>
  <c r="R79" i="10"/>
  <c r="Q79" i="10"/>
  <c r="P79" i="10"/>
  <c r="O79" i="10"/>
  <c r="R78" i="10"/>
  <c r="Q78" i="10"/>
  <c r="P78" i="10"/>
  <c r="O78" i="10"/>
  <c r="R77" i="10"/>
  <c r="Q77" i="10"/>
  <c r="P77" i="10"/>
  <c r="O77" i="10"/>
  <c r="R76" i="10"/>
  <c r="Q76" i="10"/>
  <c r="P76" i="10"/>
  <c r="O76" i="10"/>
  <c r="R75" i="10"/>
  <c r="Q75" i="10"/>
  <c r="P75" i="10"/>
  <c r="O75" i="10"/>
  <c r="R74" i="10"/>
  <c r="Q74" i="10"/>
  <c r="P74" i="10"/>
  <c r="O74" i="10"/>
  <c r="R73" i="10"/>
  <c r="Q73" i="10"/>
  <c r="P73" i="10"/>
  <c r="O73" i="10"/>
  <c r="R72" i="10"/>
  <c r="Q72" i="10"/>
  <c r="P72" i="10"/>
  <c r="O72" i="10"/>
  <c r="R71" i="10"/>
  <c r="Q71" i="10"/>
  <c r="P71" i="10"/>
  <c r="O71" i="10"/>
  <c r="R70" i="10"/>
  <c r="Q70" i="10"/>
  <c r="P70" i="10"/>
  <c r="O70" i="10"/>
  <c r="R69" i="10"/>
  <c r="Q69" i="10"/>
  <c r="P69" i="10"/>
  <c r="O69" i="10"/>
  <c r="F69" i="10"/>
  <c r="R68" i="10"/>
  <c r="Q68" i="10"/>
  <c r="P68" i="10"/>
  <c r="O68" i="10"/>
  <c r="F68" i="10"/>
  <c r="R67" i="10"/>
  <c r="Q67" i="10"/>
  <c r="P67" i="10"/>
  <c r="O67" i="10"/>
  <c r="R66" i="10"/>
  <c r="Q66" i="10"/>
  <c r="P66" i="10"/>
  <c r="O66" i="10"/>
  <c r="R65" i="10"/>
  <c r="Q65" i="10"/>
  <c r="P65" i="10"/>
  <c r="O65" i="10"/>
  <c r="R64" i="10"/>
  <c r="Q64" i="10"/>
  <c r="P64" i="10"/>
  <c r="O64" i="10"/>
  <c r="R63" i="10"/>
  <c r="Q63" i="10"/>
  <c r="P63" i="10"/>
  <c r="O63" i="10"/>
  <c r="F63" i="10"/>
  <c r="R62" i="10"/>
  <c r="Q62" i="10"/>
  <c r="P62" i="10"/>
  <c r="O62" i="10"/>
  <c r="R61" i="10"/>
  <c r="Q61" i="10"/>
  <c r="P61" i="10"/>
  <c r="O61" i="10"/>
  <c r="R60" i="10"/>
  <c r="Q60" i="10"/>
  <c r="P60" i="10"/>
  <c r="O60" i="10"/>
  <c r="R59" i="10"/>
  <c r="Q59" i="10"/>
  <c r="P59" i="10"/>
  <c r="O59" i="10"/>
  <c r="R58" i="10"/>
  <c r="Q58" i="10"/>
  <c r="P58" i="10"/>
  <c r="O58" i="10"/>
  <c r="R57" i="10"/>
  <c r="Q57" i="10"/>
  <c r="P57" i="10"/>
  <c r="O57" i="10"/>
  <c r="R56" i="10"/>
  <c r="Q56" i="10"/>
  <c r="P56" i="10"/>
  <c r="O56" i="10"/>
  <c r="R55" i="10"/>
  <c r="Q55" i="10"/>
  <c r="P55" i="10"/>
  <c r="O55" i="10"/>
  <c r="R54" i="10"/>
  <c r="Q54" i="10"/>
  <c r="P54" i="10"/>
  <c r="O54" i="10"/>
  <c r="R53" i="10"/>
  <c r="Q53" i="10"/>
  <c r="P53" i="10"/>
  <c r="O53" i="10"/>
  <c r="R52" i="10"/>
  <c r="Q52" i="10"/>
  <c r="P52" i="10"/>
  <c r="O52" i="10"/>
  <c r="R51" i="10"/>
  <c r="Q51" i="10"/>
  <c r="P51" i="10"/>
  <c r="O51" i="10"/>
  <c r="R50" i="10"/>
  <c r="Q50" i="10"/>
  <c r="P50" i="10"/>
  <c r="O50" i="10"/>
  <c r="R49" i="10"/>
  <c r="Q49" i="10"/>
  <c r="P49" i="10"/>
  <c r="O49" i="10"/>
  <c r="R48" i="10"/>
  <c r="Q48" i="10"/>
  <c r="P48" i="10"/>
  <c r="O48" i="10"/>
  <c r="R47" i="10"/>
  <c r="Q47" i="10"/>
  <c r="P47" i="10"/>
  <c r="O47" i="10"/>
  <c r="F47" i="10"/>
  <c r="R46" i="10"/>
  <c r="Q46" i="10"/>
  <c r="P46" i="10"/>
  <c r="O46" i="10"/>
  <c r="F46" i="10"/>
  <c r="R45" i="10"/>
  <c r="Q45" i="10"/>
  <c r="P45" i="10"/>
  <c r="O45" i="10"/>
  <c r="F45" i="10"/>
  <c r="R44" i="10"/>
  <c r="Q44" i="10"/>
  <c r="P44" i="10"/>
  <c r="O44" i="10"/>
  <c r="R43" i="10"/>
  <c r="Q43" i="10"/>
  <c r="P43" i="10"/>
  <c r="O43" i="10"/>
  <c r="R42" i="10"/>
  <c r="Q42" i="10"/>
  <c r="P42" i="10"/>
  <c r="O42" i="10"/>
  <c r="R41" i="10"/>
  <c r="Q41" i="10"/>
  <c r="P41" i="10"/>
  <c r="O41" i="10"/>
  <c r="R40" i="10"/>
  <c r="Q40" i="10"/>
  <c r="P40" i="10"/>
  <c r="O40" i="10"/>
  <c r="R39" i="10"/>
  <c r="Q39" i="10"/>
  <c r="P39" i="10"/>
  <c r="O39" i="10"/>
  <c r="R38" i="10"/>
  <c r="Q38" i="10"/>
  <c r="P38" i="10"/>
  <c r="O38" i="10"/>
  <c r="R37" i="10"/>
  <c r="Q37" i="10"/>
  <c r="P37" i="10"/>
  <c r="O37" i="10"/>
  <c r="R36" i="10"/>
  <c r="Q36" i="10"/>
  <c r="P36" i="10"/>
  <c r="O36" i="10"/>
  <c r="R35" i="10"/>
  <c r="Q35" i="10"/>
  <c r="P35" i="10"/>
  <c r="O35" i="10"/>
  <c r="R34" i="10"/>
  <c r="Q34" i="10"/>
  <c r="P34" i="10"/>
  <c r="O34" i="10"/>
  <c r="R33" i="10"/>
  <c r="Q33" i="10"/>
  <c r="P33" i="10"/>
  <c r="O33" i="10"/>
  <c r="R32" i="10"/>
  <c r="Q32" i="10"/>
  <c r="P32" i="10"/>
  <c r="O32" i="10"/>
  <c r="R31" i="10"/>
  <c r="Q31" i="10"/>
  <c r="P31" i="10"/>
  <c r="O31" i="10"/>
  <c r="R30" i="10"/>
  <c r="Q30" i="10"/>
  <c r="P30" i="10"/>
  <c r="O30" i="10"/>
  <c r="R29" i="10"/>
  <c r="Q29" i="10"/>
  <c r="P29" i="10"/>
  <c r="O29" i="10"/>
  <c r="R28" i="10"/>
  <c r="Q28" i="10"/>
  <c r="P28" i="10"/>
  <c r="O28" i="10"/>
  <c r="R27" i="10"/>
  <c r="Q27" i="10"/>
  <c r="P27" i="10"/>
  <c r="O27" i="10"/>
  <c r="R26" i="10"/>
  <c r="Q26" i="10"/>
  <c r="P26" i="10"/>
  <c r="O26" i="10"/>
  <c r="R25" i="10"/>
  <c r="Q25" i="10"/>
  <c r="P25" i="10"/>
  <c r="O25" i="10"/>
  <c r="R24" i="10"/>
  <c r="Q24" i="10"/>
  <c r="P24" i="10"/>
  <c r="O24" i="10"/>
  <c r="R23" i="10"/>
  <c r="Q23" i="10"/>
  <c r="P23" i="10"/>
  <c r="O23" i="10"/>
  <c r="R22" i="10"/>
  <c r="Q22" i="10"/>
  <c r="P22" i="10"/>
  <c r="O22" i="10"/>
  <c r="R21" i="10"/>
  <c r="Q21" i="10"/>
  <c r="P21" i="10"/>
  <c r="O21" i="10"/>
  <c r="R20" i="10"/>
  <c r="Q20" i="10"/>
  <c r="P20" i="10"/>
  <c r="O20" i="10"/>
  <c r="R19" i="10"/>
  <c r="Q19" i="10"/>
  <c r="P19" i="10"/>
  <c r="O19" i="10"/>
  <c r="R18" i="10"/>
  <c r="Q18" i="10"/>
  <c r="P18" i="10"/>
  <c r="O18" i="10"/>
  <c r="R17" i="10"/>
  <c r="Q17" i="10"/>
  <c r="P17" i="10"/>
  <c r="O17" i="10"/>
  <c r="R16" i="10"/>
  <c r="Q16" i="10"/>
  <c r="P16" i="10"/>
  <c r="O16" i="10"/>
  <c r="R15" i="10"/>
  <c r="Q15" i="10"/>
  <c r="P15" i="10"/>
  <c r="O15" i="10"/>
  <c r="R14" i="10"/>
  <c r="Q14" i="10"/>
  <c r="P14" i="10"/>
  <c r="O14" i="10"/>
  <c r="R13" i="10"/>
  <c r="Q13" i="10"/>
  <c r="P13" i="10"/>
  <c r="O13" i="10"/>
  <c r="R12" i="10"/>
  <c r="Q12" i="10"/>
  <c r="P12" i="10"/>
  <c r="O12" i="10"/>
  <c r="R11" i="10"/>
  <c r="Q11" i="10"/>
  <c r="P11" i="10"/>
  <c r="O11" i="10"/>
  <c r="R10" i="10"/>
  <c r="Q10" i="10"/>
  <c r="P10" i="10"/>
  <c r="O10" i="10"/>
  <c r="R9" i="10"/>
  <c r="Q9" i="10"/>
  <c r="P9" i="10"/>
  <c r="O9" i="10"/>
  <c r="F9" i="10"/>
  <c r="R8" i="10"/>
  <c r="Q8" i="10"/>
  <c r="P8" i="10"/>
  <c r="O8" i="10"/>
  <c r="F8" i="10"/>
  <c r="R7" i="10"/>
  <c r="Q7" i="10"/>
  <c r="P7" i="10"/>
  <c r="O7" i="10"/>
  <c r="F7" i="10"/>
  <c r="R6" i="10"/>
  <c r="Q6" i="10"/>
  <c r="P6" i="10"/>
  <c r="O6" i="10"/>
  <c r="F6" i="10"/>
  <c r="R5" i="10"/>
  <c r="Q5" i="10"/>
  <c r="P5" i="10"/>
  <c r="O5" i="10"/>
  <c r="R4" i="10"/>
  <c r="Q4" i="10"/>
  <c r="P4" i="10"/>
  <c r="O4" i="10"/>
  <c r="R3" i="10"/>
  <c r="Q3" i="10"/>
  <c r="P3" i="10"/>
  <c r="O3" i="10"/>
  <c r="R2" i="10"/>
  <c r="Q2" i="10"/>
  <c r="P2" i="10"/>
  <c r="O2" i="10"/>
  <c r="E47" i="9"/>
  <c r="E48" i="9"/>
  <c r="E49" i="9"/>
  <c r="E50" i="9"/>
  <c r="E51" i="9"/>
  <c r="E52" i="9"/>
  <c r="E53" i="9"/>
  <c r="E54" i="9"/>
  <c r="E55" i="9"/>
  <c r="E33" i="9"/>
  <c r="E34" i="9"/>
  <c r="E35" i="9"/>
  <c r="E37" i="9"/>
  <c r="E38" i="9"/>
  <c r="E39" i="9"/>
  <c r="E2" i="9"/>
  <c r="E3" i="9"/>
  <c r="E4" i="9"/>
  <c r="E12" i="9"/>
  <c r="E13" i="9"/>
  <c r="E14" i="9"/>
  <c r="E22" i="9"/>
  <c r="E23" i="9"/>
  <c r="E24" i="9"/>
  <c r="E27" i="9"/>
  <c r="E28" i="9"/>
  <c r="E29" i="9"/>
  <c r="E32" i="9"/>
  <c r="R159" i="2" l="1"/>
  <c r="B18" i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Q2" i="2"/>
  <c r="P2" i="2"/>
  <c r="O2" i="2"/>
  <c r="C30" i="1"/>
  <c r="B30" i="1"/>
  <c r="B29" i="1"/>
  <c r="B28" i="1"/>
  <c r="B27" i="1"/>
  <c r="D19" i="1"/>
  <c r="D16" i="1"/>
  <c r="C19" i="1"/>
  <c r="C16" i="1"/>
  <c r="C14" i="1"/>
  <c r="B19" i="1"/>
  <c r="B17" i="1"/>
  <c r="B14" i="1"/>
  <c r="B16" i="1"/>
  <c r="B15" i="1"/>
  <c r="E13" i="1"/>
  <c r="H31" i="1" l="1"/>
  <c r="G31" i="1"/>
  <c r="F31" i="1"/>
  <c r="H12" i="1"/>
  <c r="H13" i="1"/>
  <c r="G13" i="1"/>
  <c r="F13" i="1"/>
  <c r="C17" i="1"/>
  <c r="D17" i="1"/>
  <c r="D15" i="1"/>
  <c r="F12" i="1"/>
  <c r="D14" i="1"/>
  <c r="H8" i="1"/>
  <c r="E2" i="1"/>
  <c r="E14" i="1" s="1"/>
  <c r="G2" i="1"/>
  <c r="F2" i="1"/>
  <c r="F14" i="1" l="1"/>
  <c r="G14" i="1"/>
  <c r="H14" i="1"/>
  <c r="H17" i="1"/>
  <c r="F17" i="1"/>
  <c r="D27" i="1" l="1"/>
  <c r="D28" i="1"/>
  <c r="D29" i="1"/>
  <c r="D30" i="1"/>
  <c r="F133" i="2"/>
  <c r="F145" i="2"/>
  <c r="F144" i="2"/>
  <c r="F105" i="2"/>
  <c r="F114" i="2"/>
  <c r="F113" i="2"/>
  <c r="F115" i="2"/>
  <c r="F8" i="2"/>
  <c r="F69" i="2"/>
  <c r="F7" i="2"/>
  <c r="F9" i="2"/>
  <c r="F68" i="2"/>
  <c r="F130" i="2"/>
  <c r="F131" i="2"/>
  <c r="F132" i="2"/>
  <c r="F6" i="2"/>
  <c r="F102" i="2"/>
  <c r="F141" i="2"/>
  <c r="F101" i="2"/>
  <c r="F100" i="2"/>
  <c r="F47" i="2"/>
  <c r="F46" i="2"/>
  <c r="F45" i="2"/>
  <c r="F92" i="2"/>
  <c r="F90" i="2"/>
  <c r="F91" i="2"/>
  <c r="F109" i="2"/>
  <c r="F129" i="2"/>
  <c r="F63" i="2"/>
  <c r="D18" i="1"/>
  <c r="R2" i="2" l="1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E6" i="1" l="1"/>
  <c r="E9" i="1"/>
  <c r="E10" i="1"/>
  <c r="E11" i="1"/>
  <c r="E12" i="1" l="1"/>
  <c r="H6" i="1"/>
  <c r="H11" i="1"/>
  <c r="G6" i="1"/>
  <c r="G11" i="1"/>
  <c r="F6" i="1"/>
  <c r="F11" i="1"/>
  <c r="H9" i="1"/>
  <c r="H10" i="1"/>
  <c r="G9" i="1"/>
  <c r="G10" i="1"/>
  <c r="F9" i="1"/>
  <c r="F10" i="1"/>
  <c r="C7" i="1"/>
  <c r="E7" i="1" s="1"/>
  <c r="C5" i="1"/>
  <c r="H2" i="1"/>
  <c r="E5" i="1" l="1"/>
  <c r="C27" i="1"/>
  <c r="C28" i="1"/>
  <c r="C29" i="1"/>
  <c r="C15" i="1"/>
  <c r="H16" i="1"/>
  <c r="G17" i="1"/>
  <c r="C18" i="1"/>
  <c r="G12" i="1"/>
  <c r="H4" i="1"/>
  <c r="E3" i="1"/>
  <c r="E17" i="1" s="1"/>
  <c r="F8" i="1"/>
  <c r="E8" i="1"/>
  <c r="E4" i="1"/>
  <c r="H7" i="1"/>
  <c r="G5" i="1"/>
  <c r="H5" i="1"/>
  <c r="F7" i="1"/>
  <c r="F3" i="1"/>
  <c r="F5" i="1"/>
  <c r="G8" i="1"/>
  <c r="G4" i="1"/>
  <c r="H3" i="1"/>
  <c r="F4" i="1"/>
  <c r="G7" i="1"/>
  <c r="G3" i="1"/>
  <c r="G27" i="1" l="1"/>
  <c r="H27" i="1"/>
  <c r="F27" i="1"/>
  <c r="E27" i="1"/>
  <c r="E29" i="1"/>
  <c r="F29" i="1"/>
  <c r="G29" i="1"/>
  <c r="H29" i="1"/>
  <c r="E30" i="1"/>
  <c r="F30" i="1"/>
  <c r="H30" i="1"/>
  <c r="G30" i="1"/>
  <c r="E28" i="1"/>
  <c r="F28" i="1"/>
  <c r="H28" i="1"/>
  <c r="G28" i="1"/>
  <c r="H18" i="1"/>
  <c r="G18" i="1"/>
  <c r="F18" i="1"/>
  <c r="G15" i="1"/>
  <c r="F15" i="1"/>
  <c r="E19" i="1"/>
  <c r="F19" i="1"/>
  <c r="G19" i="1"/>
  <c r="E15" i="1"/>
  <c r="E18" i="1"/>
  <c r="E16" i="1"/>
  <c r="H15" i="1"/>
  <c r="H19" i="1"/>
  <c r="G16" i="1"/>
  <c r="F16" i="1"/>
</calcChain>
</file>

<file path=xl/sharedStrings.xml><?xml version="1.0" encoding="utf-8"?>
<sst xmlns="http://schemas.openxmlformats.org/spreadsheetml/2006/main" count="3226" uniqueCount="172">
  <si>
    <t>Food</t>
  </si>
  <si>
    <t>Protein</t>
  </si>
  <si>
    <t>Lipid</t>
  </si>
  <si>
    <t>Carbohydrate</t>
  </si>
  <si>
    <t>Oatmeal</t>
  </si>
  <si>
    <t>Coffee Grind</t>
  </si>
  <si>
    <t>Protein powder</t>
  </si>
  <si>
    <t>Fat-reduced oatmeal</t>
  </si>
  <si>
    <t>Sugar kelp</t>
  </si>
  <si>
    <t>Potato starch</t>
  </si>
  <si>
    <t>Protein%</t>
  </si>
  <si>
    <t>Carbohydrate%</t>
  </si>
  <si>
    <t>Lipid%</t>
  </si>
  <si>
    <t>Oatmeal:Protein powder (50:50)</t>
  </si>
  <si>
    <t>Oatmeal:Oil (80:20)</t>
  </si>
  <si>
    <t>Oatmeal:Protein powder (66:33)</t>
  </si>
  <si>
    <t>Coffee Grind:Protein  powder (66:33)</t>
  </si>
  <si>
    <t>Coffee Grind:Protein  powder (33:66)</t>
  </si>
  <si>
    <t>Coffee Grind:Oil (66:33)</t>
  </si>
  <si>
    <t>Sara</t>
  </si>
  <si>
    <t>Dennis</t>
  </si>
  <si>
    <t>kaffe</t>
  </si>
  <si>
    <t>mask</t>
  </si>
  <si>
    <t>ølgær</t>
  </si>
  <si>
    <t>brunsaft</t>
  </si>
  <si>
    <t>protein</t>
  </si>
  <si>
    <t>tørgær (bagergær)</t>
  </si>
  <si>
    <t>number</t>
  </si>
  <si>
    <t>food</t>
  </si>
  <si>
    <t>biomass</t>
  </si>
  <si>
    <t>rep</t>
  </si>
  <si>
    <t>proin</t>
  </si>
  <si>
    <t>fedt</t>
  </si>
  <si>
    <t>sukker/kulhydrat</t>
  </si>
  <si>
    <t>kaffe 2</t>
  </si>
  <si>
    <t>kaffe 3</t>
  </si>
  <si>
    <t>kaffe 4</t>
  </si>
  <si>
    <t>fedtreduceret havregryn</t>
  </si>
  <si>
    <t>havregryn</t>
  </si>
  <si>
    <t xml:space="preserve">ølgær </t>
  </si>
  <si>
    <t>NLFA i føde mængde</t>
  </si>
  <si>
    <t>C14:0</t>
  </si>
  <si>
    <t>C16:0</t>
  </si>
  <si>
    <t>C16:1</t>
  </si>
  <si>
    <t>C18:0</t>
  </si>
  <si>
    <t>C18:1</t>
  </si>
  <si>
    <t>C18:2</t>
  </si>
  <si>
    <t>C18:3 alpha</t>
  </si>
  <si>
    <t>C20:0</t>
  </si>
  <si>
    <t>C20:1</t>
  </si>
  <si>
    <t>C22:0</t>
  </si>
  <si>
    <t>C24:0</t>
  </si>
  <si>
    <t>total</t>
  </si>
  <si>
    <t>Total fedt</t>
  </si>
  <si>
    <t>kontrol</t>
  </si>
  <si>
    <t>gær</t>
  </si>
  <si>
    <t>PLFA i føde mængde</t>
  </si>
  <si>
    <t>C14:1</t>
  </si>
  <si>
    <t>C20:2</t>
  </si>
  <si>
    <t>C20:4</t>
  </si>
  <si>
    <t>C22:6</t>
  </si>
  <si>
    <t>Malene</t>
  </si>
  <si>
    <t>I</t>
  </si>
  <si>
    <t>M</t>
  </si>
  <si>
    <t>pers</t>
  </si>
  <si>
    <t>Wine yeast</t>
  </si>
  <si>
    <t>SD</t>
  </si>
  <si>
    <t>H</t>
  </si>
  <si>
    <t>Hanna</t>
  </si>
  <si>
    <t>Søsalat</t>
  </si>
  <si>
    <t>Vandhår</t>
  </si>
  <si>
    <t>Savtang</t>
  </si>
  <si>
    <t>Blæretang</t>
  </si>
  <si>
    <t>Skulpetang</t>
  </si>
  <si>
    <t>Baking yeast</t>
  </si>
  <si>
    <t>Mine</t>
  </si>
  <si>
    <t>ID</t>
  </si>
  <si>
    <t>Other</t>
  </si>
  <si>
    <t>Yeast extract</t>
  </si>
  <si>
    <t>Brewers yeast</t>
  </si>
  <si>
    <t>Brown juice</t>
  </si>
  <si>
    <t>part</t>
  </si>
  <si>
    <t>Maja</t>
  </si>
  <si>
    <t>Mixed</t>
  </si>
  <si>
    <t>org. rep</t>
  </si>
  <si>
    <t>yes</t>
  </si>
  <si>
    <t>Blev tabt, så medtag ikke</t>
  </si>
  <si>
    <t>no</t>
  </si>
  <si>
    <t>Lidt opløste orme</t>
  </si>
  <si>
    <t>Synligt jord i maven på mange</t>
  </si>
  <si>
    <t>Comments</t>
  </si>
  <si>
    <t>1a</t>
  </si>
  <si>
    <t>1b</t>
  </si>
  <si>
    <t>1c</t>
  </si>
  <si>
    <t>1d</t>
  </si>
  <si>
    <t>1e</t>
  </si>
  <si>
    <t>1f</t>
  </si>
  <si>
    <t>1g</t>
  </si>
  <si>
    <t>1h</t>
  </si>
  <si>
    <t>Oatmeal after 3 weeks</t>
  </si>
  <si>
    <t>No feeding</t>
  </si>
  <si>
    <t>2a</t>
  </si>
  <si>
    <t>2b</t>
  </si>
  <si>
    <t>2c</t>
  </si>
  <si>
    <t>2d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</si>
  <si>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</si>
  <si>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</si>
  <si>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</si>
  <si>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</si>
  <si>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</si>
  <si>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</si>
  <si>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</si>
  <si>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</si>
  <si>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</si>
  <si>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3f</t>
  </si>
  <si>
    <t>3g</t>
  </si>
  <si>
    <t>3h</t>
  </si>
  <si>
    <t>pctProtein</t>
  </si>
  <si>
    <t>pctLipid</t>
  </si>
  <si>
    <t>pctCarbohydrate</t>
  </si>
  <si>
    <t>Oatmeal:Mash (50:50)</t>
  </si>
  <si>
    <t>Oatmeal:Coffee Grind (50:50)</t>
  </si>
  <si>
    <t>Oatmeal:Wine Yeast (50:50)</t>
  </si>
  <si>
    <t>Oatmeal:Wine Yeast:Coffee Grind (33:33:33)</t>
  </si>
  <si>
    <t>P</t>
  </si>
  <si>
    <t>A</t>
  </si>
  <si>
    <t>B</t>
  </si>
  <si>
    <t>C</t>
  </si>
  <si>
    <t>D</t>
  </si>
  <si>
    <t>E</t>
  </si>
  <si>
    <t>F</t>
  </si>
  <si>
    <t>Fat</t>
  </si>
  <si>
    <t>Source</t>
  </si>
  <si>
    <t>Package declaration</t>
  </si>
  <si>
    <t>Oil</t>
  </si>
  <si>
    <t>Ash/fiber</t>
  </si>
  <si>
    <t>Own protein, rest inspired by (Kemppainen et al., 2016)</t>
  </si>
  <si>
    <t>Fat calculated from total FA in food, rest package declaration</t>
  </si>
  <si>
    <r>
      <rPr>
        <sz val="10"/>
        <color theme="1"/>
        <rFont val="Calibri"/>
        <family val="2"/>
        <scheme val="minor"/>
      </rPr>
      <t>Own protein, rest inspired by</t>
    </r>
    <r>
      <rPr>
        <i/>
        <sz val="10"/>
        <color theme="1"/>
        <rFont val="Calibri"/>
        <family val="2"/>
        <scheme val="minor"/>
      </rPr>
      <t xml:space="preserve"> (Martinez-Saez et al., 2017)</t>
    </r>
  </si>
  <si>
    <t>Own protien, rest Personal comm.</t>
  </si>
  <si>
    <t>not used</t>
  </si>
  <si>
    <t>Own protein, rest inspired by (Sappati et al., 2018)</t>
  </si>
  <si>
    <t xml:space="preserve">Own protein, rest inspired by Fødevaredata (version 4, 2019) </t>
  </si>
  <si>
    <t>Own protein, rest inspired by Personal comm.</t>
  </si>
  <si>
    <t>(Mathias, De Mello and Sérvulo, 2014)</t>
  </si>
  <si>
    <t>Brewer’s grain</t>
  </si>
  <si>
    <t>Brewer's yeast</t>
  </si>
  <si>
    <t>Coffee Grind:Protein powder (66:33)</t>
  </si>
  <si>
    <t>Coffee Grind:Protein powder (33:66)</t>
  </si>
  <si>
    <t>Brewer's grain</t>
  </si>
  <si>
    <t>Oatmeal:Brewer's grain (50:50)</t>
  </si>
  <si>
    <t>series</t>
  </si>
  <si>
    <t>PctProteinDW</t>
  </si>
  <si>
    <t>Total_O3FA</t>
  </si>
  <si>
    <t>Total_FA</t>
  </si>
  <si>
    <t>C20_5_3</t>
  </si>
  <si>
    <t>C18_3_3</t>
  </si>
  <si>
    <r>
      <t>C18_3_</t>
    </r>
    <r>
      <rPr>
        <b/>
        <sz val="11"/>
        <color theme="1"/>
        <rFont val="Calibri"/>
        <family val="2"/>
      </rPr>
      <t>3</t>
    </r>
  </si>
  <si>
    <r>
      <t>C20_3_(11,14,17)_</t>
    </r>
    <r>
      <rPr>
        <b/>
        <sz val="11"/>
        <color theme="1"/>
        <rFont val="Calibri"/>
        <family val="2"/>
      </rPr>
      <t>3</t>
    </r>
  </si>
  <si>
    <r>
      <t>C20_5_</t>
    </r>
    <r>
      <rPr>
        <b/>
        <sz val="11"/>
        <color theme="1"/>
        <rFont val="Calibri"/>
        <family val="2"/>
      </rPr>
      <t>3</t>
    </r>
  </si>
  <si>
    <r>
      <t>C22_5_</t>
    </r>
    <r>
      <rPr>
        <b/>
        <sz val="11"/>
        <color theme="1"/>
        <rFont val="Calibri"/>
        <family val="2"/>
      </rPr>
      <t>3</t>
    </r>
  </si>
  <si>
    <r>
      <t>C22_6_</t>
    </r>
    <r>
      <rPr>
        <b/>
        <sz val="11"/>
        <color theme="1"/>
        <rFont val="Calibri"/>
        <family val="2"/>
      </rPr>
      <t>3</t>
    </r>
  </si>
  <si>
    <t>Total_3_FA</t>
  </si>
  <si>
    <t>ash_offspring</t>
  </si>
  <si>
    <t>ash_percent_DW</t>
  </si>
  <si>
    <t>count_heatmap</t>
  </si>
  <si>
    <t>Dead_after_extraction</t>
  </si>
  <si>
    <t>setup</t>
  </si>
  <si>
    <t>responsible</t>
  </si>
  <si>
    <t>duration</t>
  </si>
  <si>
    <t>count_data</t>
  </si>
  <si>
    <t>protein_percent_DW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</si>
</sst>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2" fontId="0" fillId="0" borderId="0" xfId="0" applyNumberFormat="1"/>
    <xf numFmtId="1" fontId="3" fillId="0" borderId="0" xfId="0" applyNumberFormat="1" applyFont="1"/>
    <xf numFmtId="164" fontId="3" fillId="0" borderId="0" xfId="0" applyNumberFormat="1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166" fontId="0" fillId="0" borderId="0" xfId="0" applyNumberForma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right"/>
    </xf>
    <xf numFmtId="0" fontId="9" fillId="0" borderId="0" xfId="0" applyFo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right"/>
    </xf>
    <xf numFmtId="1" fontId="8" fillId="0" borderId="0" xfId="0" applyNumberFormat="1" applyFont="1"/>
    <xf numFmtId="0" fontId="11" fillId="0" borderId="0" xfId="0" applyFont="1"/>
    <xf numFmtId="0" fontId="7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6E05-D805-48D0-B578-EEB21B1338FC}">
  <dimension ref="A1:AI275"/>
  <sheetViews>
    <sheetView topLeftCell="O1" zoomScaleNormal="100" workbookViewId="0">
      <selection activeCell="X46" sqref="A1:AF255"/>
    </sheetView>
  </sheetViews>
  <sheetFormatPr defaultRowHeight="14.5" x14ac:dyDescent="0.35"/>
  <cols>
    <col min="1" max="1" width="42.54296875" customWidth="1"/>
    <col min="2" max="2" width="3.90625" style="19" bestFit="1" customWidth="1"/>
    <col min="3" max="3" width="6" style="19" bestFit="1" customWidth="1"/>
    <col min="4" max="4" width="4.6328125" style="19" bestFit="1" customWidth="1"/>
    <col min="5" max="5" width="4.6328125" style="19" customWidth="1"/>
    <col min="6" max="6" width="7.6328125" bestFit="1" customWidth="1"/>
    <col min="7" max="7" width="8.1796875" bestFit="1" customWidth="1"/>
    <col min="8" max="8" width="4.81640625" style="4" bestFit="1" customWidth="1"/>
    <col min="9" max="9" width="8.81640625" style="4" bestFit="1" customWidth="1"/>
    <col min="10" max="10" width="7.6328125" style="19" bestFit="1" customWidth="1"/>
    <col min="11" max="11" width="15.6328125" style="19" bestFit="1" customWidth="1"/>
    <col min="12" max="12" width="7.08984375" style="19" bestFit="1" customWidth="1"/>
    <col min="13" max="13" width="6.6328125" style="19" bestFit="1" customWidth="1"/>
    <col min="14" max="14" width="12.36328125" style="19" bestFit="1" customWidth="1"/>
    <col min="15" max="15" width="9" style="19" bestFit="1" customWidth="1"/>
    <col min="16" max="16" width="9.6328125" style="19" bestFit="1" customWidth="1"/>
    <col min="17" max="17" width="7.6328125" style="19" bestFit="1" customWidth="1"/>
    <col min="18" max="18" width="15.08984375" style="19" bestFit="1" customWidth="1"/>
    <col min="19" max="19" width="9.81640625" style="4" bestFit="1" customWidth="1"/>
    <col min="20" max="20" width="23.81640625" style="4" customWidth="1"/>
    <col min="21" max="21" width="11.453125" style="4" bestFit="1" customWidth="1"/>
    <col min="22" max="23" width="8.1796875" style="4" bestFit="1" customWidth="1"/>
    <col min="24" max="24" width="11" style="4" bestFit="1" customWidth="1"/>
    <col min="25" max="25" width="8.1796875" style="4" bestFit="1" customWidth="1"/>
    <col min="26" max="26" width="12.81640625" customWidth="1"/>
    <col min="27" max="29" width="12.08984375" bestFit="1" customWidth="1"/>
    <col min="30" max="30" width="15.90625" bestFit="1" customWidth="1"/>
    <col min="31" max="31" width="25.08984375" bestFit="1" customWidth="1"/>
    <col min="32" max="32" width="29.54296875" bestFit="1" customWidth="1"/>
    <col min="33" max="33" width="11.1796875" customWidth="1"/>
    <col min="34" max="34" width="10.1796875" customWidth="1"/>
    <col min="35" max="35" width="11.81640625" customWidth="1"/>
    <col min="36" max="36" width="10.54296875" customWidth="1"/>
  </cols>
  <sheetData>
    <row r="1" spans="1:33" x14ac:dyDescent="0.35">
      <c r="A1" s="10" t="s">
        <v>28</v>
      </c>
      <c r="B1" s="15" t="s">
        <v>30</v>
      </c>
      <c r="C1" s="15" t="s">
        <v>167</v>
      </c>
      <c r="D1" s="15" t="s">
        <v>81</v>
      </c>
      <c r="E1" s="15" t="s">
        <v>151</v>
      </c>
      <c r="F1" s="10" t="s">
        <v>27</v>
      </c>
      <c r="G1" s="11" t="s">
        <v>29</v>
      </c>
      <c r="H1" s="15" t="s">
        <v>64</v>
      </c>
      <c r="I1" s="15" t="s">
        <v>168</v>
      </c>
      <c r="J1" s="15" t="s">
        <v>84</v>
      </c>
      <c r="K1" s="15" t="s">
        <v>169</v>
      </c>
      <c r="L1" s="11" t="s">
        <v>1</v>
      </c>
      <c r="M1" s="11" t="s">
        <v>2</v>
      </c>
      <c r="N1" s="11" t="s">
        <v>3</v>
      </c>
      <c r="O1" s="11" t="s">
        <v>135</v>
      </c>
      <c r="P1" s="11" t="s">
        <v>117</v>
      </c>
      <c r="Q1" s="11" t="s">
        <v>118</v>
      </c>
      <c r="R1" s="11" t="s">
        <v>119</v>
      </c>
      <c r="S1" s="33" t="s">
        <v>157</v>
      </c>
      <c r="T1" s="33" t="s">
        <v>158</v>
      </c>
      <c r="U1" s="33" t="s">
        <v>159</v>
      </c>
      <c r="V1" s="33" t="s">
        <v>160</v>
      </c>
      <c r="W1" s="33" t="s">
        <v>161</v>
      </c>
      <c r="X1" s="33" t="s">
        <v>162</v>
      </c>
      <c r="Y1" s="33" t="s">
        <v>154</v>
      </c>
      <c r="Z1" s="20" t="s">
        <v>171</v>
      </c>
      <c r="AA1" s="20" t="s">
        <v>163</v>
      </c>
      <c r="AB1" s="20" t="s">
        <v>164</v>
      </c>
      <c r="AC1" s="20" t="s">
        <v>170</v>
      </c>
      <c r="AD1" s="20" t="s">
        <v>165</v>
      </c>
      <c r="AE1" s="20" t="s">
        <v>166</v>
      </c>
      <c r="AF1" s="20" t="s">
        <v>90</v>
      </c>
    </row>
    <row r="2" spans="1:33" x14ac:dyDescent="0.35">
      <c r="A2" t="s">
        <v>4</v>
      </c>
      <c r="B2" s="19">
        <v>1</v>
      </c>
      <c r="C2" s="19" t="s">
        <v>125</v>
      </c>
      <c r="D2" s="19">
        <v>2</v>
      </c>
      <c r="E2" s="19" t="s">
        <v>125</v>
      </c>
      <c r="F2" s="18">
        <v>516</v>
      </c>
      <c r="G2">
        <v>12.16</v>
      </c>
      <c r="H2" s="14" t="s">
        <v>62</v>
      </c>
      <c r="I2" s="4" t="s">
        <v>82</v>
      </c>
      <c r="J2" s="19">
        <v>1</v>
      </c>
      <c r="K2" s="19">
        <v>6</v>
      </c>
      <c r="L2" s="17">
        <v>14.4</v>
      </c>
      <c r="M2">
        <v>7</v>
      </c>
      <c r="N2">
        <v>57</v>
      </c>
      <c r="O2">
        <f t="shared" ref="O2:O65" si="0">100-L2-M2-N2</f>
        <v>21.599999999999994</v>
      </c>
      <c r="P2">
        <f t="shared" ref="P2:P65" si="1">(L2/(SUM(L2:N2))*100)</f>
        <v>18.367346938775508</v>
      </c>
      <c r="Q2">
        <f t="shared" ref="Q2:Q65" si="2">(M2/(SUM(L2:N2))*100)</f>
        <v>8.928571428571427</v>
      </c>
      <c r="R2">
        <f t="shared" ref="R2:R65" si="3">(N2/(SUM(L2:N2))*100)</f>
        <v>72.704081632653057</v>
      </c>
      <c r="S2" s="4">
        <v>1.7671367687543071</v>
      </c>
      <c r="T2" s="4">
        <v>0.13882790210293663</v>
      </c>
      <c r="U2" s="4">
        <v>1.7787622393738314</v>
      </c>
      <c r="V2" s="4">
        <v>0.17471423909349709</v>
      </c>
      <c r="W2" s="4">
        <v>9.2172632990519775E-3</v>
      </c>
      <c r="X2" s="4">
        <v>3.8686584126236241</v>
      </c>
      <c r="Y2" s="4">
        <v>84.149968284496524</v>
      </c>
      <c r="Z2">
        <v>60.8125</v>
      </c>
      <c r="AA2">
        <v>0.13299999999999912</v>
      </c>
      <c r="AB2">
        <v>6.6800602712204489</v>
      </c>
      <c r="AC2" t="s">
        <v>85</v>
      </c>
      <c r="AD2" t="s">
        <v>85</v>
      </c>
      <c r="AE2" t="s">
        <v>85</v>
      </c>
    </row>
    <row r="3" spans="1:33" x14ac:dyDescent="0.35">
      <c r="A3" t="s">
        <v>4</v>
      </c>
      <c r="B3" s="19">
        <v>2</v>
      </c>
      <c r="C3" s="19" t="s">
        <v>125</v>
      </c>
      <c r="D3" s="19">
        <v>2</v>
      </c>
      <c r="E3" s="19" t="s">
        <v>125</v>
      </c>
      <c r="F3" s="18">
        <v>174</v>
      </c>
      <c r="G3">
        <v>4.0890000000000004</v>
      </c>
      <c r="H3" s="14" t="s">
        <v>62</v>
      </c>
      <c r="I3" s="4" t="s">
        <v>82</v>
      </c>
      <c r="J3" s="19">
        <v>2</v>
      </c>
      <c r="K3" s="19">
        <v>6</v>
      </c>
      <c r="L3" s="17">
        <v>14.4</v>
      </c>
      <c r="M3">
        <v>7</v>
      </c>
      <c r="N3">
        <v>57</v>
      </c>
      <c r="O3">
        <f t="shared" si="0"/>
        <v>21.599999999999994</v>
      </c>
      <c r="P3">
        <f t="shared" si="1"/>
        <v>18.367346938775508</v>
      </c>
      <c r="Q3">
        <f t="shared" si="2"/>
        <v>8.928571428571427</v>
      </c>
      <c r="R3">
        <f t="shared" si="3"/>
        <v>72.704081632653057</v>
      </c>
      <c r="AC3" t="s">
        <v>85</v>
      </c>
      <c r="AD3" t="s">
        <v>85</v>
      </c>
      <c r="AE3" t="s">
        <v>85</v>
      </c>
    </row>
    <row r="4" spans="1:33" x14ac:dyDescent="0.35">
      <c r="A4" t="s">
        <v>4</v>
      </c>
      <c r="B4" s="19">
        <v>3</v>
      </c>
      <c r="C4" s="19" t="s">
        <v>125</v>
      </c>
      <c r="D4" s="19">
        <v>2</v>
      </c>
      <c r="E4" s="19" t="s">
        <v>125</v>
      </c>
      <c r="F4" s="18">
        <v>346</v>
      </c>
      <c r="G4">
        <v>7.2089999999999996</v>
      </c>
      <c r="H4" s="14" t="s">
        <v>62</v>
      </c>
      <c r="I4" s="4" t="s">
        <v>82</v>
      </c>
      <c r="J4" s="19">
        <v>3</v>
      </c>
      <c r="K4" s="19">
        <v>6</v>
      </c>
      <c r="L4" s="17">
        <v>14.4</v>
      </c>
      <c r="M4">
        <v>7</v>
      </c>
      <c r="N4">
        <v>57</v>
      </c>
      <c r="O4">
        <f t="shared" si="0"/>
        <v>21.599999999999994</v>
      </c>
      <c r="P4">
        <f t="shared" si="1"/>
        <v>18.367346938775508</v>
      </c>
      <c r="Q4">
        <f t="shared" si="2"/>
        <v>8.928571428571427</v>
      </c>
      <c r="R4">
        <f t="shared" si="3"/>
        <v>72.704081632653057</v>
      </c>
      <c r="AC4" t="s">
        <v>85</v>
      </c>
      <c r="AD4" t="s">
        <v>85</v>
      </c>
    </row>
    <row r="5" spans="1:33" x14ac:dyDescent="0.35">
      <c r="A5" t="s">
        <v>4</v>
      </c>
      <c r="B5" s="19">
        <v>4</v>
      </c>
      <c r="C5" s="19" t="s">
        <v>125</v>
      </c>
      <c r="D5" s="19">
        <v>2</v>
      </c>
      <c r="E5" s="19" t="s">
        <v>125</v>
      </c>
      <c r="F5" s="18">
        <v>399</v>
      </c>
      <c r="G5">
        <v>8.58</v>
      </c>
      <c r="H5" s="14" t="s">
        <v>62</v>
      </c>
      <c r="I5" s="4" t="s">
        <v>82</v>
      </c>
      <c r="J5" s="19">
        <v>4</v>
      </c>
      <c r="K5" s="19">
        <v>6</v>
      </c>
      <c r="L5" s="17">
        <v>14.4</v>
      </c>
      <c r="M5">
        <v>7</v>
      </c>
      <c r="N5">
        <v>57</v>
      </c>
      <c r="O5">
        <f t="shared" si="0"/>
        <v>21.599999999999994</v>
      </c>
      <c r="P5">
        <f t="shared" si="1"/>
        <v>18.367346938775508</v>
      </c>
      <c r="Q5">
        <f t="shared" si="2"/>
        <v>8.928571428571427</v>
      </c>
      <c r="R5">
        <f t="shared" si="3"/>
        <v>72.704081632653057</v>
      </c>
      <c r="AC5" t="s">
        <v>85</v>
      </c>
      <c r="AD5" t="s">
        <v>85</v>
      </c>
    </row>
    <row r="6" spans="1:33" x14ac:dyDescent="0.35">
      <c r="A6" t="s">
        <v>4</v>
      </c>
      <c r="B6" s="19">
        <v>5</v>
      </c>
      <c r="C6" s="19" t="s">
        <v>125</v>
      </c>
      <c r="D6" s="19">
        <v>2</v>
      </c>
      <c r="E6" s="19" t="s">
        <v>125</v>
      </c>
      <c r="F6" s="18">
        <f>321+281</f>
        <v>602</v>
      </c>
      <c r="G6">
        <v>24.419</v>
      </c>
      <c r="H6" s="14" t="s">
        <v>62</v>
      </c>
      <c r="I6" s="4" t="s">
        <v>82</v>
      </c>
      <c r="J6" s="19">
        <v>5</v>
      </c>
      <c r="K6" s="19">
        <v>6</v>
      </c>
      <c r="L6" s="17">
        <v>14.4</v>
      </c>
      <c r="M6">
        <v>7</v>
      </c>
      <c r="N6">
        <v>57</v>
      </c>
      <c r="O6">
        <f t="shared" si="0"/>
        <v>21.599999999999994</v>
      </c>
      <c r="P6">
        <f t="shared" si="1"/>
        <v>18.367346938775508</v>
      </c>
      <c r="Q6">
        <f t="shared" si="2"/>
        <v>8.928571428571427</v>
      </c>
      <c r="R6">
        <f t="shared" si="3"/>
        <v>72.704081632653057</v>
      </c>
      <c r="S6" s="4">
        <v>1.5308566553244247</v>
      </c>
      <c r="T6" s="4">
        <v>0.13371849791451373</v>
      </c>
      <c r="U6" s="4">
        <v>1.5368418942207804</v>
      </c>
      <c r="V6" s="4">
        <v>0.15177600505242361</v>
      </c>
      <c r="W6" s="4">
        <v>2.101851497540556E-2</v>
      </c>
      <c r="X6" s="4">
        <v>3.3742115674875484</v>
      </c>
      <c r="Y6" s="4">
        <v>63.600444305439012</v>
      </c>
      <c r="Z6">
        <v>61.4375</v>
      </c>
      <c r="AA6">
        <v>0.10899999999999999</v>
      </c>
      <c r="AB6">
        <v>5.4663991975927804</v>
      </c>
      <c r="AC6" t="s">
        <v>85</v>
      </c>
      <c r="AD6" t="s">
        <v>85</v>
      </c>
      <c r="AE6" t="s">
        <v>85</v>
      </c>
    </row>
    <row r="7" spans="1:33" x14ac:dyDescent="0.35">
      <c r="A7" t="s">
        <v>4</v>
      </c>
      <c r="B7" s="19">
        <v>6</v>
      </c>
      <c r="C7" s="19" t="s">
        <v>125</v>
      </c>
      <c r="D7" s="19">
        <v>2</v>
      </c>
      <c r="E7" s="19" t="s">
        <v>125</v>
      </c>
      <c r="F7" s="18">
        <f>421+335</f>
        <v>756</v>
      </c>
      <c r="G7">
        <v>27.988</v>
      </c>
      <c r="H7" s="14" t="s">
        <v>62</v>
      </c>
      <c r="I7" s="4" t="s">
        <v>82</v>
      </c>
      <c r="J7" s="19">
        <v>6</v>
      </c>
      <c r="K7" s="19">
        <v>6</v>
      </c>
      <c r="L7" s="17">
        <v>14.4</v>
      </c>
      <c r="M7">
        <v>7</v>
      </c>
      <c r="N7">
        <v>57</v>
      </c>
      <c r="O7">
        <f t="shared" si="0"/>
        <v>21.599999999999994</v>
      </c>
      <c r="P7">
        <f t="shared" si="1"/>
        <v>18.367346938775508</v>
      </c>
      <c r="Q7">
        <f t="shared" si="2"/>
        <v>8.928571428571427</v>
      </c>
      <c r="R7">
        <f t="shared" si="3"/>
        <v>72.704081632653057</v>
      </c>
      <c r="S7" s="4">
        <v>1.6402957462611931</v>
      </c>
      <c r="T7" s="4">
        <v>0.13321693276998722</v>
      </c>
      <c r="U7" s="4">
        <v>1.5723103984240874</v>
      </c>
      <c r="V7" s="4">
        <v>0.1348113411562801</v>
      </c>
      <c r="W7" s="4">
        <v>7.8853161354021477E-3</v>
      </c>
      <c r="X7" s="4">
        <v>3.4885197347469501</v>
      </c>
      <c r="Y7" s="4">
        <v>66.310559714607223</v>
      </c>
      <c r="Z7">
        <v>54.8125</v>
      </c>
      <c r="AA7">
        <v>0.29400000000000048</v>
      </c>
      <c r="AB7">
        <v>7.2431633407243261</v>
      </c>
      <c r="AC7" t="s">
        <v>85</v>
      </c>
      <c r="AD7" t="s">
        <v>85</v>
      </c>
    </row>
    <row r="8" spans="1:33" x14ac:dyDescent="0.35">
      <c r="A8" t="s">
        <v>4</v>
      </c>
      <c r="B8" s="19">
        <v>7</v>
      </c>
      <c r="C8" s="19" t="s">
        <v>125</v>
      </c>
      <c r="D8" s="19">
        <v>2</v>
      </c>
      <c r="E8" s="19" t="s">
        <v>125</v>
      </c>
      <c r="F8" s="18">
        <f>331+384</f>
        <v>715</v>
      </c>
      <c r="G8">
        <v>22.637</v>
      </c>
      <c r="H8" s="14" t="s">
        <v>62</v>
      </c>
      <c r="I8" s="4" t="s">
        <v>82</v>
      </c>
      <c r="J8" s="19">
        <v>7</v>
      </c>
      <c r="K8" s="19">
        <v>6</v>
      </c>
      <c r="L8" s="17">
        <v>14.4</v>
      </c>
      <c r="M8">
        <v>7</v>
      </c>
      <c r="N8">
        <v>57</v>
      </c>
      <c r="O8">
        <f t="shared" si="0"/>
        <v>21.599999999999994</v>
      </c>
      <c r="P8">
        <f t="shared" si="1"/>
        <v>18.367346938775508</v>
      </c>
      <c r="Q8">
        <f t="shared" si="2"/>
        <v>8.928571428571427</v>
      </c>
      <c r="R8">
        <f t="shared" si="3"/>
        <v>72.704081632653057</v>
      </c>
      <c r="S8" s="4">
        <v>1.9137982845516708</v>
      </c>
      <c r="T8" s="4">
        <v>9.0789144749438208E-2</v>
      </c>
      <c r="U8" s="4">
        <v>1.3949952292216774</v>
      </c>
      <c r="V8" s="4">
        <v>9.4999728758482879E-2</v>
      </c>
      <c r="W8" s="4">
        <v>2.6552317574369748E-3</v>
      </c>
      <c r="X8" s="4">
        <v>3.4972376190387062</v>
      </c>
      <c r="Y8" s="4">
        <v>77.097909941754978</v>
      </c>
      <c r="Z8">
        <v>52.937500000000007</v>
      </c>
      <c r="AA8">
        <v>9.9999999999999645E-2</v>
      </c>
      <c r="AB8">
        <v>3.1123560535325141</v>
      </c>
      <c r="AC8" t="s">
        <v>85</v>
      </c>
      <c r="AD8" t="s">
        <v>85</v>
      </c>
      <c r="AE8" t="s">
        <v>85</v>
      </c>
    </row>
    <row r="9" spans="1:33" x14ac:dyDescent="0.35">
      <c r="A9" t="s">
        <v>4</v>
      </c>
      <c r="B9" s="19">
        <v>8</v>
      </c>
      <c r="C9" s="19" t="s">
        <v>125</v>
      </c>
      <c r="D9" s="19">
        <v>2</v>
      </c>
      <c r="E9" s="19" t="s">
        <v>125</v>
      </c>
      <c r="F9" s="18">
        <f>318+217</f>
        <v>535</v>
      </c>
      <c r="G9">
        <v>35.103000000000002</v>
      </c>
      <c r="H9" s="14" t="s">
        <v>62</v>
      </c>
      <c r="I9" s="4" t="s">
        <v>82</v>
      </c>
      <c r="J9" s="19">
        <v>8</v>
      </c>
      <c r="K9" s="19">
        <v>6</v>
      </c>
      <c r="L9" s="17">
        <v>14.4</v>
      </c>
      <c r="M9">
        <v>7</v>
      </c>
      <c r="N9">
        <v>57</v>
      </c>
      <c r="O9">
        <f t="shared" si="0"/>
        <v>21.599999999999994</v>
      </c>
      <c r="P9">
        <f t="shared" si="1"/>
        <v>18.367346938775508</v>
      </c>
      <c r="Q9">
        <f t="shared" si="2"/>
        <v>8.928571428571427</v>
      </c>
      <c r="R9">
        <f t="shared" si="3"/>
        <v>72.704081632653057</v>
      </c>
      <c r="S9" s="4">
        <v>2.1757779395378263</v>
      </c>
      <c r="T9" s="4">
        <v>0.10607718227029819</v>
      </c>
      <c r="U9" s="4">
        <v>1.4351747216443789</v>
      </c>
      <c r="V9" s="4">
        <v>9.74114096267122E-2</v>
      </c>
      <c r="W9" s="4">
        <v>1.8197196354289883E-3</v>
      </c>
      <c r="X9" s="4">
        <v>3.8162609727146446</v>
      </c>
      <c r="Y9" s="4">
        <v>83.17680479737686</v>
      </c>
      <c r="Z9">
        <v>46.250000000000007</v>
      </c>
      <c r="AA9">
        <v>0.19500000000000028</v>
      </c>
      <c r="AB9">
        <v>6.780250347705155</v>
      </c>
      <c r="AC9" t="s">
        <v>85</v>
      </c>
      <c r="AD9" t="s">
        <v>85</v>
      </c>
    </row>
    <row r="10" spans="1:33" x14ac:dyDescent="0.35">
      <c r="A10" t="s">
        <v>4</v>
      </c>
      <c r="B10" s="19">
        <v>9</v>
      </c>
      <c r="C10" s="19" t="s">
        <v>124</v>
      </c>
      <c r="D10" s="19">
        <v>1</v>
      </c>
      <c r="F10">
        <v>162</v>
      </c>
      <c r="G10">
        <v>3.3769999999999998</v>
      </c>
      <c r="H10" s="14" t="s">
        <v>62</v>
      </c>
      <c r="I10" s="4" t="s">
        <v>82</v>
      </c>
      <c r="J10" s="19">
        <v>1</v>
      </c>
      <c r="K10" s="19">
        <v>6</v>
      </c>
      <c r="L10" s="17">
        <v>14.4</v>
      </c>
      <c r="M10">
        <v>7</v>
      </c>
      <c r="N10">
        <v>57</v>
      </c>
      <c r="O10">
        <f t="shared" si="0"/>
        <v>21.599999999999994</v>
      </c>
      <c r="P10">
        <f t="shared" si="1"/>
        <v>18.367346938775508</v>
      </c>
      <c r="Q10">
        <f t="shared" si="2"/>
        <v>8.928571428571427</v>
      </c>
      <c r="R10">
        <f t="shared" si="3"/>
        <v>72.704081632653057</v>
      </c>
      <c r="AC10" t="s">
        <v>87</v>
      </c>
      <c r="AD10" t="s">
        <v>87</v>
      </c>
    </row>
    <row r="11" spans="1:33" x14ac:dyDescent="0.35">
      <c r="A11" t="s">
        <v>4</v>
      </c>
      <c r="B11" s="19">
        <v>10</v>
      </c>
      <c r="C11" s="19" t="s">
        <v>124</v>
      </c>
      <c r="D11" s="19">
        <v>1</v>
      </c>
      <c r="F11">
        <v>182</v>
      </c>
      <c r="G11">
        <v>6.056</v>
      </c>
      <c r="H11" s="14" t="s">
        <v>62</v>
      </c>
      <c r="I11" s="4" t="s">
        <v>82</v>
      </c>
      <c r="J11" s="19">
        <v>2</v>
      </c>
      <c r="K11" s="19">
        <v>6</v>
      </c>
      <c r="L11" s="17">
        <v>14.4</v>
      </c>
      <c r="M11">
        <v>7</v>
      </c>
      <c r="N11">
        <v>57</v>
      </c>
      <c r="O11">
        <f t="shared" si="0"/>
        <v>21.599999999999994</v>
      </c>
      <c r="P11">
        <f t="shared" si="1"/>
        <v>18.367346938775508</v>
      </c>
      <c r="Q11">
        <f t="shared" si="2"/>
        <v>8.928571428571427</v>
      </c>
      <c r="R11">
        <f t="shared" si="3"/>
        <v>72.704081632653057</v>
      </c>
      <c r="AC11" t="s">
        <v>87</v>
      </c>
      <c r="AD11" t="s">
        <v>87</v>
      </c>
    </row>
    <row r="12" spans="1:33" x14ac:dyDescent="0.35">
      <c r="A12" t="s">
        <v>4</v>
      </c>
      <c r="B12" s="19">
        <v>11</v>
      </c>
      <c r="C12" s="19" t="s">
        <v>126</v>
      </c>
      <c r="D12" s="19">
        <v>3</v>
      </c>
      <c r="E12" s="19" t="s">
        <v>126</v>
      </c>
      <c r="F12">
        <v>337</v>
      </c>
      <c r="G12" s="2">
        <v>7.72</v>
      </c>
      <c r="H12" s="4" t="s">
        <v>63</v>
      </c>
      <c r="I12" s="4" t="s">
        <v>61</v>
      </c>
      <c r="J12" s="19">
        <v>1</v>
      </c>
      <c r="K12" s="19">
        <v>7</v>
      </c>
      <c r="L12" s="17">
        <v>14.4</v>
      </c>
      <c r="M12">
        <v>7</v>
      </c>
      <c r="N12">
        <v>57</v>
      </c>
      <c r="O12">
        <f t="shared" si="0"/>
        <v>21.599999999999994</v>
      </c>
      <c r="P12">
        <f t="shared" si="1"/>
        <v>18.367346938775508</v>
      </c>
      <c r="Q12">
        <f t="shared" si="2"/>
        <v>8.928571428571427</v>
      </c>
      <c r="R12">
        <f t="shared" si="3"/>
        <v>72.704081632653057</v>
      </c>
      <c r="AC12" t="s">
        <v>85</v>
      </c>
      <c r="AD12" t="s">
        <v>85</v>
      </c>
      <c r="AG12" s="3"/>
    </row>
    <row r="13" spans="1:33" x14ac:dyDescent="0.35">
      <c r="A13" t="s">
        <v>4</v>
      </c>
      <c r="B13" s="19">
        <v>12</v>
      </c>
      <c r="C13" s="19" t="s">
        <v>126</v>
      </c>
      <c r="D13" s="19">
        <v>3</v>
      </c>
      <c r="E13" s="19" t="s">
        <v>126</v>
      </c>
      <c r="F13">
        <v>410</v>
      </c>
      <c r="G13" s="2">
        <v>11.506</v>
      </c>
      <c r="H13" s="4" t="s">
        <v>63</v>
      </c>
      <c r="I13" s="4" t="s">
        <v>61</v>
      </c>
      <c r="J13" s="19">
        <v>2</v>
      </c>
      <c r="K13" s="19">
        <v>7</v>
      </c>
      <c r="L13" s="17">
        <v>14.4</v>
      </c>
      <c r="M13">
        <v>7</v>
      </c>
      <c r="N13">
        <v>57</v>
      </c>
      <c r="O13">
        <f t="shared" si="0"/>
        <v>21.599999999999994</v>
      </c>
      <c r="P13">
        <f t="shared" si="1"/>
        <v>18.367346938775508</v>
      </c>
      <c r="Q13">
        <f t="shared" si="2"/>
        <v>8.928571428571427</v>
      </c>
      <c r="R13">
        <f t="shared" si="3"/>
        <v>72.704081632653057</v>
      </c>
      <c r="AC13" t="s">
        <v>85</v>
      </c>
      <c r="AD13" t="s">
        <v>85</v>
      </c>
      <c r="AG13" s="3"/>
    </row>
    <row r="14" spans="1:33" x14ac:dyDescent="0.35">
      <c r="A14" t="s">
        <v>4</v>
      </c>
      <c r="B14" s="19">
        <v>13</v>
      </c>
      <c r="C14" s="19" t="s">
        <v>126</v>
      </c>
      <c r="D14" s="19">
        <v>3</v>
      </c>
      <c r="E14" s="19" t="s">
        <v>126</v>
      </c>
      <c r="F14">
        <v>357</v>
      </c>
      <c r="G14" s="2">
        <v>11.55</v>
      </c>
      <c r="H14" s="4" t="s">
        <v>63</v>
      </c>
      <c r="I14" s="4" t="s">
        <v>61</v>
      </c>
      <c r="J14" s="19">
        <v>3</v>
      </c>
      <c r="K14" s="19">
        <v>7</v>
      </c>
      <c r="L14" s="17">
        <v>14.4</v>
      </c>
      <c r="M14">
        <v>7</v>
      </c>
      <c r="N14">
        <v>57</v>
      </c>
      <c r="O14">
        <f t="shared" si="0"/>
        <v>21.599999999999994</v>
      </c>
      <c r="P14">
        <f t="shared" si="1"/>
        <v>18.367346938775508</v>
      </c>
      <c r="Q14">
        <f t="shared" si="2"/>
        <v>8.928571428571427</v>
      </c>
      <c r="R14">
        <f t="shared" si="3"/>
        <v>72.704081632653057</v>
      </c>
      <c r="AC14" t="s">
        <v>85</v>
      </c>
      <c r="AD14" t="s">
        <v>85</v>
      </c>
      <c r="AG14" s="3"/>
    </row>
    <row r="15" spans="1:33" x14ac:dyDescent="0.35">
      <c r="A15" t="s">
        <v>4</v>
      </c>
      <c r="B15" s="19">
        <v>14</v>
      </c>
      <c r="C15" s="19" t="s">
        <v>126</v>
      </c>
      <c r="D15" s="19">
        <v>3</v>
      </c>
      <c r="E15" s="19" t="s">
        <v>126</v>
      </c>
      <c r="F15">
        <v>117</v>
      </c>
      <c r="G15" s="2">
        <v>8.1059999999999999</v>
      </c>
      <c r="H15" s="4" t="s">
        <v>63</v>
      </c>
      <c r="I15" s="4" t="s">
        <v>61</v>
      </c>
      <c r="J15" s="19">
        <v>4</v>
      </c>
      <c r="K15" s="19">
        <v>7</v>
      </c>
      <c r="L15" s="17">
        <v>14.4</v>
      </c>
      <c r="M15">
        <v>7</v>
      </c>
      <c r="N15">
        <v>57</v>
      </c>
      <c r="O15">
        <f t="shared" si="0"/>
        <v>21.599999999999994</v>
      </c>
      <c r="P15">
        <f t="shared" si="1"/>
        <v>18.367346938775508</v>
      </c>
      <c r="Q15">
        <f t="shared" si="2"/>
        <v>8.928571428571427</v>
      </c>
      <c r="R15">
        <f t="shared" si="3"/>
        <v>72.704081632653057</v>
      </c>
      <c r="AC15" t="s">
        <v>85</v>
      </c>
      <c r="AD15" t="s">
        <v>85</v>
      </c>
      <c r="AG15" s="3"/>
    </row>
    <row r="16" spans="1:33" x14ac:dyDescent="0.35">
      <c r="A16" t="s">
        <v>4</v>
      </c>
      <c r="B16" s="19">
        <v>15</v>
      </c>
      <c r="C16" s="19" t="s">
        <v>126</v>
      </c>
      <c r="D16" s="19">
        <v>3</v>
      </c>
      <c r="E16" s="19" t="s">
        <v>126</v>
      </c>
      <c r="F16">
        <v>294</v>
      </c>
      <c r="G16" s="2">
        <v>9.1639999999999997</v>
      </c>
      <c r="H16" s="4" t="s">
        <v>63</v>
      </c>
      <c r="I16" s="4" t="s">
        <v>61</v>
      </c>
      <c r="J16" s="19">
        <v>5</v>
      </c>
      <c r="K16" s="19">
        <v>7</v>
      </c>
      <c r="L16" s="17">
        <v>14.4</v>
      </c>
      <c r="M16">
        <v>7</v>
      </c>
      <c r="N16">
        <v>57</v>
      </c>
      <c r="O16">
        <f t="shared" si="0"/>
        <v>21.599999999999994</v>
      </c>
      <c r="P16">
        <f t="shared" si="1"/>
        <v>18.367346938775508</v>
      </c>
      <c r="Q16">
        <f t="shared" si="2"/>
        <v>8.928571428571427</v>
      </c>
      <c r="R16">
        <f t="shared" si="3"/>
        <v>72.704081632653057</v>
      </c>
      <c r="AC16" t="s">
        <v>85</v>
      </c>
      <c r="AD16" t="s">
        <v>85</v>
      </c>
      <c r="AG16" s="3"/>
    </row>
    <row r="17" spans="1:30" x14ac:dyDescent="0.35">
      <c r="A17" t="s">
        <v>4</v>
      </c>
      <c r="B17" s="19">
        <v>16</v>
      </c>
      <c r="C17" s="19" t="s">
        <v>127</v>
      </c>
      <c r="D17" s="19">
        <v>4</v>
      </c>
      <c r="E17" s="19" t="s">
        <v>127</v>
      </c>
      <c r="F17">
        <v>88</v>
      </c>
      <c r="G17" s="2">
        <v>6.7270000000000003</v>
      </c>
      <c r="H17" s="14" t="s">
        <v>66</v>
      </c>
      <c r="I17" s="4" t="s">
        <v>19</v>
      </c>
      <c r="J17" s="19">
        <v>1</v>
      </c>
      <c r="K17" s="19">
        <v>7</v>
      </c>
      <c r="L17" s="17">
        <v>14.4</v>
      </c>
      <c r="M17">
        <v>7</v>
      </c>
      <c r="N17">
        <v>57</v>
      </c>
      <c r="O17">
        <f t="shared" si="0"/>
        <v>21.599999999999994</v>
      </c>
      <c r="P17">
        <f t="shared" si="1"/>
        <v>18.367346938775508</v>
      </c>
      <c r="Q17">
        <f t="shared" si="2"/>
        <v>8.928571428571427</v>
      </c>
      <c r="R17">
        <f t="shared" si="3"/>
        <v>72.704081632653057</v>
      </c>
      <c r="S17" s="4">
        <v>0.88648234983327612</v>
      </c>
      <c r="T17" s="4">
        <v>0.22036651199774909</v>
      </c>
      <c r="U17" s="4">
        <v>2.0359376290112001</v>
      </c>
      <c r="V17" s="4">
        <v>0.38203006951439716</v>
      </c>
      <c r="W17" s="4">
        <v>4.0001644633251482E-2</v>
      </c>
      <c r="X17" s="4">
        <v>3.5648182049898742</v>
      </c>
      <c r="Y17" s="4">
        <v>43.250404530126659</v>
      </c>
      <c r="AC17" t="s">
        <v>85</v>
      </c>
      <c r="AD17" t="s">
        <v>85</v>
      </c>
    </row>
    <row r="18" spans="1:30" x14ac:dyDescent="0.35">
      <c r="A18" t="s">
        <v>4</v>
      </c>
      <c r="B18" s="19">
        <v>17</v>
      </c>
      <c r="C18" s="19" t="s">
        <v>127</v>
      </c>
      <c r="D18" s="19">
        <v>4</v>
      </c>
      <c r="E18" s="19" t="s">
        <v>127</v>
      </c>
      <c r="F18">
        <v>147</v>
      </c>
      <c r="G18" s="2">
        <v>8.8780000000000001</v>
      </c>
      <c r="H18" s="14" t="s">
        <v>66</v>
      </c>
      <c r="I18" s="4" t="s">
        <v>19</v>
      </c>
      <c r="J18" s="19">
        <v>2</v>
      </c>
      <c r="K18" s="19">
        <v>7</v>
      </c>
      <c r="L18" s="17">
        <v>14.4</v>
      </c>
      <c r="M18">
        <v>7</v>
      </c>
      <c r="N18">
        <v>57</v>
      </c>
      <c r="O18">
        <f t="shared" si="0"/>
        <v>21.599999999999994</v>
      </c>
      <c r="P18">
        <f t="shared" si="1"/>
        <v>18.367346938775508</v>
      </c>
      <c r="Q18">
        <f t="shared" si="2"/>
        <v>8.928571428571427</v>
      </c>
      <c r="R18">
        <f t="shared" si="3"/>
        <v>72.704081632653057</v>
      </c>
      <c r="S18" s="4">
        <v>0.62736959058159025</v>
      </c>
      <c r="T18" s="4">
        <v>0.12731661909569411</v>
      </c>
      <c r="U18" s="4">
        <v>1.8854972540951873</v>
      </c>
      <c r="V18" s="4">
        <v>0.33049903465297542</v>
      </c>
      <c r="W18" s="4">
        <v>0.11357878294760342</v>
      </c>
      <c r="X18" s="4">
        <v>3.0842612813730503</v>
      </c>
      <c r="Y18" s="4">
        <v>38.84777886972261</v>
      </c>
      <c r="AC18" t="s">
        <v>85</v>
      </c>
      <c r="AD18" t="s">
        <v>85</v>
      </c>
    </row>
    <row r="19" spans="1:30" x14ac:dyDescent="0.35">
      <c r="A19" t="s">
        <v>4</v>
      </c>
      <c r="B19" s="19">
        <v>18</v>
      </c>
      <c r="C19" s="19" t="s">
        <v>127</v>
      </c>
      <c r="D19" s="19">
        <v>4</v>
      </c>
      <c r="E19" s="19" t="s">
        <v>127</v>
      </c>
      <c r="F19">
        <v>58</v>
      </c>
      <c r="G19" s="2">
        <v>4.5739999999999998</v>
      </c>
      <c r="H19" s="14" t="s">
        <v>66</v>
      </c>
      <c r="I19" s="4" t="s">
        <v>19</v>
      </c>
      <c r="J19" s="19">
        <v>3</v>
      </c>
      <c r="K19" s="19">
        <v>7</v>
      </c>
      <c r="L19" s="17">
        <v>14.4</v>
      </c>
      <c r="M19">
        <v>7</v>
      </c>
      <c r="N19">
        <v>57</v>
      </c>
      <c r="O19">
        <f t="shared" si="0"/>
        <v>21.599999999999994</v>
      </c>
      <c r="P19">
        <f t="shared" si="1"/>
        <v>18.367346938775508</v>
      </c>
      <c r="Q19">
        <f t="shared" si="2"/>
        <v>8.928571428571427</v>
      </c>
      <c r="R19">
        <f t="shared" si="3"/>
        <v>72.704081632653057</v>
      </c>
      <c r="S19" s="4">
        <v>0.83778884741507653</v>
      </c>
      <c r="T19" s="4">
        <v>0.14575014510610779</v>
      </c>
      <c r="U19" s="4">
        <v>2.1664591126618076</v>
      </c>
      <c r="V19" s="4">
        <v>0.44072881229966215</v>
      </c>
      <c r="W19" s="4">
        <v>3.3723262533958021E-2</v>
      </c>
      <c r="X19" s="4">
        <v>3.6244501800166122</v>
      </c>
      <c r="Y19" s="4">
        <v>47.351037662345291</v>
      </c>
      <c r="AC19" t="s">
        <v>85</v>
      </c>
      <c r="AD19" t="s">
        <v>85</v>
      </c>
    </row>
    <row r="20" spans="1:30" x14ac:dyDescent="0.35">
      <c r="A20" t="s">
        <v>4</v>
      </c>
      <c r="B20" s="19">
        <v>19</v>
      </c>
      <c r="C20" s="19" t="s">
        <v>127</v>
      </c>
      <c r="D20" s="19">
        <v>4</v>
      </c>
      <c r="E20" s="19" t="s">
        <v>127</v>
      </c>
      <c r="F20">
        <v>76</v>
      </c>
      <c r="G20" s="2">
        <v>4.1040000000000001</v>
      </c>
      <c r="H20" s="14" t="s">
        <v>66</v>
      </c>
      <c r="I20" s="4" t="s">
        <v>19</v>
      </c>
      <c r="J20" s="19">
        <v>4</v>
      </c>
      <c r="K20" s="19">
        <v>7</v>
      </c>
      <c r="L20" s="17">
        <v>14.4</v>
      </c>
      <c r="M20">
        <v>7</v>
      </c>
      <c r="N20">
        <v>57</v>
      </c>
      <c r="O20">
        <f t="shared" si="0"/>
        <v>21.599999999999994</v>
      </c>
      <c r="P20">
        <f t="shared" si="1"/>
        <v>18.367346938775508</v>
      </c>
      <c r="Q20">
        <f t="shared" si="2"/>
        <v>8.928571428571427</v>
      </c>
      <c r="R20">
        <f t="shared" si="3"/>
        <v>72.704081632653057</v>
      </c>
      <c r="AC20" t="s">
        <v>85</v>
      </c>
      <c r="AD20" t="s">
        <v>85</v>
      </c>
    </row>
    <row r="21" spans="1:30" x14ac:dyDescent="0.35">
      <c r="A21" t="s">
        <v>4</v>
      </c>
      <c r="B21" s="19">
        <v>20</v>
      </c>
      <c r="C21" s="19" t="s">
        <v>127</v>
      </c>
      <c r="D21" s="19">
        <v>4</v>
      </c>
      <c r="E21" s="19" t="s">
        <v>127</v>
      </c>
      <c r="F21">
        <v>91</v>
      </c>
      <c r="G21" s="2">
        <v>8.5950000000000006</v>
      </c>
      <c r="H21" s="14" t="s">
        <v>66</v>
      </c>
      <c r="I21" s="4" t="s">
        <v>19</v>
      </c>
      <c r="J21" s="19">
        <v>5</v>
      </c>
      <c r="K21" s="19">
        <v>7</v>
      </c>
      <c r="L21" s="17">
        <v>14.4</v>
      </c>
      <c r="M21">
        <v>7</v>
      </c>
      <c r="N21">
        <v>57</v>
      </c>
      <c r="O21">
        <f t="shared" si="0"/>
        <v>21.599999999999994</v>
      </c>
      <c r="P21">
        <f t="shared" si="1"/>
        <v>18.367346938775508</v>
      </c>
      <c r="Q21">
        <f t="shared" si="2"/>
        <v>8.928571428571427</v>
      </c>
      <c r="R21">
        <f t="shared" si="3"/>
        <v>72.704081632653057</v>
      </c>
      <c r="AC21" t="s">
        <v>85</v>
      </c>
      <c r="AD21" t="s">
        <v>85</v>
      </c>
    </row>
    <row r="22" spans="1:30" x14ac:dyDescent="0.35">
      <c r="A22" t="s">
        <v>4</v>
      </c>
      <c r="B22" s="19">
        <v>21</v>
      </c>
      <c r="C22" s="19" t="s">
        <v>128</v>
      </c>
      <c r="D22" s="19">
        <v>5</v>
      </c>
      <c r="F22">
        <v>137</v>
      </c>
      <c r="G22" s="6">
        <v>3.5369999999999999</v>
      </c>
      <c r="H22" s="4" t="s">
        <v>67</v>
      </c>
      <c r="I22" s="4" t="s">
        <v>68</v>
      </c>
      <c r="J22" s="19">
        <v>1</v>
      </c>
      <c r="K22" s="19">
        <v>6</v>
      </c>
      <c r="L22" s="17">
        <v>14.4</v>
      </c>
      <c r="M22">
        <v>7</v>
      </c>
      <c r="N22">
        <v>57</v>
      </c>
      <c r="O22">
        <f t="shared" si="0"/>
        <v>21.599999999999994</v>
      </c>
      <c r="P22">
        <f t="shared" si="1"/>
        <v>18.367346938775508</v>
      </c>
      <c r="Q22">
        <f t="shared" si="2"/>
        <v>8.928571428571427</v>
      </c>
      <c r="R22">
        <f t="shared" si="3"/>
        <v>72.704081632653057</v>
      </c>
      <c r="AC22" t="s">
        <v>87</v>
      </c>
      <c r="AD22" t="s">
        <v>87</v>
      </c>
    </row>
    <row r="23" spans="1:30" x14ac:dyDescent="0.35">
      <c r="A23" t="s">
        <v>4</v>
      </c>
      <c r="B23" s="19">
        <v>22</v>
      </c>
      <c r="C23" s="19" t="s">
        <v>128</v>
      </c>
      <c r="D23" s="19">
        <v>5</v>
      </c>
      <c r="F23">
        <v>250</v>
      </c>
      <c r="G23" s="6">
        <v>3.63</v>
      </c>
      <c r="H23" s="4" t="s">
        <v>67</v>
      </c>
      <c r="I23" s="4" t="s">
        <v>68</v>
      </c>
      <c r="J23" s="19">
        <v>2</v>
      </c>
      <c r="K23" s="19">
        <v>6</v>
      </c>
      <c r="L23" s="17">
        <v>14.4</v>
      </c>
      <c r="M23">
        <v>7</v>
      </c>
      <c r="N23">
        <v>57</v>
      </c>
      <c r="O23">
        <f t="shared" si="0"/>
        <v>21.599999999999994</v>
      </c>
      <c r="P23">
        <f t="shared" si="1"/>
        <v>18.367346938775508</v>
      </c>
      <c r="Q23">
        <f t="shared" si="2"/>
        <v>8.928571428571427</v>
      </c>
      <c r="R23">
        <f t="shared" si="3"/>
        <v>72.704081632653057</v>
      </c>
      <c r="AC23" t="s">
        <v>87</v>
      </c>
      <c r="AD23" t="s">
        <v>87</v>
      </c>
    </row>
    <row r="24" spans="1:30" x14ac:dyDescent="0.35">
      <c r="A24" t="s">
        <v>4</v>
      </c>
      <c r="B24" s="19">
        <v>23</v>
      </c>
      <c r="C24" s="19" t="s">
        <v>128</v>
      </c>
      <c r="D24" s="19">
        <v>5</v>
      </c>
      <c r="F24">
        <v>206</v>
      </c>
      <c r="G24" s="6">
        <v>5.8</v>
      </c>
      <c r="H24" s="4" t="s">
        <v>67</v>
      </c>
      <c r="I24" s="4" t="s">
        <v>68</v>
      </c>
      <c r="J24" s="19">
        <v>3</v>
      </c>
      <c r="K24" s="19">
        <v>6</v>
      </c>
      <c r="L24" s="17">
        <v>14.4</v>
      </c>
      <c r="M24">
        <v>7</v>
      </c>
      <c r="N24">
        <v>57</v>
      </c>
      <c r="O24">
        <f t="shared" si="0"/>
        <v>21.599999999999994</v>
      </c>
      <c r="P24">
        <f t="shared" si="1"/>
        <v>18.367346938775508</v>
      </c>
      <c r="Q24">
        <f t="shared" si="2"/>
        <v>8.928571428571427</v>
      </c>
      <c r="R24">
        <f t="shared" si="3"/>
        <v>72.704081632653057</v>
      </c>
      <c r="AC24" t="s">
        <v>87</v>
      </c>
      <c r="AD24" t="s">
        <v>87</v>
      </c>
    </row>
    <row r="25" spans="1:30" x14ac:dyDescent="0.35">
      <c r="A25" t="s">
        <v>4</v>
      </c>
      <c r="B25" s="19">
        <v>24</v>
      </c>
      <c r="C25" s="19" t="s">
        <v>128</v>
      </c>
      <c r="D25" s="19">
        <v>5</v>
      </c>
      <c r="F25">
        <v>118</v>
      </c>
      <c r="G25" s="6">
        <v>2.6469999999999998</v>
      </c>
      <c r="H25" s="4" t="s">
        <v>67</v>
      </c>
      <c r="I25" s="4" t="s">
        <v>68</v>
      </c>
      <c r="J25" s="19">
        <v>4</v>
      </c>
      <c r="K25" s="19">
        <v>6</v>
      </c>
      <c r="L25" s="17">
        <v>14.4</v>
      </c>
      <c r="M25">
        <v>7</v>
      </c>
      <c r="N25">
        <v>57</v>
      </c>
      <c r="O25">
        <f t="shared" si="0"/>
        <v>21.599999999999994</v>
      </c>
      <c r="P25">
        <f t="shared" si="1"/>
        <v>18.367346938775508</v>
      </c>
      <c r="Q25">
        <f t="shared" si="2"/>
        <v>8.928571428571427</v>
      </c>
      <c r="R25">
        <f t="shared" si="3"/>
        <v>72.704081632653057</v>
      </c>
      <c r="AC25" t="s">
        <v>87</v>
      </c>
      <c r="AD25" t="s">
        <v>87</v>
      </c>
    </row>
    <row r="26" spans="1:30" x14ac:dyDescent="0.35">
      <c r="A26" t="s">
        <v>4</v>
      </c>
      <c r="B26" s="19">
        <v>25</v>
      </c>
      <c r="C26" s="19" t="s">
        <v>128</v>
      </c>
      <c r="D26" s="19">
        <v>5</v>
      </c>
      <c r="F26">
        <v>90</v>
      </c>
      <c r="G26" s="6">
        <v>5.5359999999999996</v>
      </c>
      <c r="H26" s="4" t="s">
        <v>67</v>
      </c>
      <c r="I26" s="4" t="s">
        <v>68</v>
      </c>
      <c r="J26" s="19">
        <v>5</v>
      </c>
      <c r="K26" s="19">
        <v>6</v>
      </c>
      <c r="L26" s="17">
        <v>14.4</v>
      </c>
      <c r="M26">
        <v>7</v>
      </c>
      <c r="N26">
        <v>57</v>
      </c>
      <c r="O26">
        <f t="shared" si="0"/>
        <v>21.599999999999994</v>
      </c>
      <c r="P26">
        <f t="shared" si="1"/>
        <v>18.367346938775508</v>
      </c>
      <c r="Q26">
        <f t="shared" si="2"/>
        <v>8.928571428571427</v>
      </c>
      <c r="R26">
        <f t="shared" si="3"/>
        <v>72.704081632653057</v>
      </c>
      <c r="AC26" t="s">
        <v>87</v>
      </c>
      <c r="AD26" t="s">
        <v>87</v>
      </c>
    </row>
    <row r="27" spans="1:30" x14ac:dyDescent="0.35">
      <c r="A27" t="s">
        <v>4</v>
      </c>
      <c r="B27" s="19">
        <v>26</v>
      </c>
      <c r="C27" s="19" t="s">
        <v>129</v>
      </c>
      <c r="D27" s="19">
        <v>6</v>
      </c>
      <c r="E27" s="19" t="s">
        <v>128</v>
      </c>
      <c r="F27">
        <v>385</v>
      </c>
      <c r="G27" s="6">
        <v>10.904</v>
      </c>
      <c r="H27" s="4" t="s">
        <v>63</v>
      </c>
      <c r="I27" s="4" t="s">
        <v>61</v>
      </c>
      <c r="J27" s="19" t="s">
        <v>91</v>
      </c>
      <c r="K27" s="19">
        <v>6</v>
      </c>
      <c r="L27" s="17">
        <v>14.4</v>
      </c>
      <c r="M27">
        <v>7</v>
      </c>
      <c r="N27">
        <v>57</v>
      </c>
      <c r="O27">
        <f t="shared" si="0"/>
        <v>21.599999999999994</v>
      </c>
      <c r="P27">
        <f t="shared" si="1"/>
        <v>18.367346938775508</v>
      </c>
      <c r="Q27">
        <f t="shared" si="2"/>
        <v>8.928571428571427</v>
      </c>
      <c r="R27">
        <f t="shared" si="3"/>
        <v>72.704081632653057</v>
      </c>
      <c r="AC27" t="s">
        <v>85</v>
      </c>
      <c r="AD27" t="s">
        <v>85</v>
      </c>
    </row>
    <row r="28" spans="1:30" x14ac:dyDescent="0.35">
      <c r="A28" t="s">
        <v>4</v>
      </c>
      <c r="B28" s="19">
        <v>27</v>
      </c>
      <c r="C28" s="19" t="s">
        <v>129</v>
      </c>
      <c r="D28" s="19">
        <v>6</v>
      </c>
      <c r="E28" s="19" t="s">
        <v>128</v>
      </c>
      <c r="F28">
        <v>394</v>
      </c>
      <c r="G28" s="6">
        <v>9.3450000000000006</v>
      </c>
      <c r="H28" s="4" t="s">
        <v>63</v>
      </c>
      <c r="I28" s="4" t="s">
        <v>61</v>
      </c>
      <c r="J28" s="19" t="s">
        <v>92</v>
      </c>
      <c r="K28" s="19">
        <v>6</v>
      </c>
      <c r="L28" s="17">
        <v>14.4</v>
      </c>
      <c r="M28">
        <v>7</v>
      </c>
      <c r="N28">
        <v>57</v>
      </c>
      <c r="O28">
        <f t="shared" si="0"/>
        <v>21.599999999999994</v>
      </c>
      <c r="P28">
        <f t="shared" si="1"/>
        <v>18.367346938775508</v>
      </c>
      <c r="Q28">
        <f t="shared" si="2"/>
        <v>8.928571428571427</v>
      </c>
      <c r="R28">
        <f t="shared" si="3"/>
        <v>72.704081632653057</v>
      </c>
      <c r="AC28" t="s">
        <v>85</v>
      </c>
      <c r="AD28" t="s">
        <v>85</v>
      </c>
    </row>
    <row r="29" spans="1:30" x14ac:dyDescent="0.35">
      <c r="A29" t="s">
        <v>4</v>
      </c>
      <c r="B29" s="19">
        <v>28</v>
      </c>
      <c r="C29" s="19" t="s">
        <v>129</v>
      </c>
      <c r="D29" s="19">
        <v>6</v>
      </c>
      <c r="E29" s="19" t="s">
        <v>128</v>
      </c>
      <c r="F29">
        <v>505</v>
      </c>
      <c r="G29" s="6">
        <v>12.837</v>
      </c>
      <c r="H29" s="4" t="s">
        <v>63</v>
      </c>
      <c r="I29" s="4" t="s">
        <v>61</v>
      </c>
      <c r="J29" s="19" t="s">
        <v>93</v>
      </c>
      <c r="K29" s="19">
        <v>6</v>
      </c>
      <c r="L29" s="17">
        <v>14.4</v>
      </c>
      <c r="M29">
        <v>7</v>
      </c>
      <c r="N29">
        <v>57</v>
      </c>
      <c r="O29">
        <f t="shared" si="0"/>
        <v>21.599999999999994</v>
      </c>
      <c r="P29">
        <f t="shared" si="1"/>
        <v>18.367346938775508</v>
      </c>
      <c r="Q29">
        <f t="shared" si="2"/>
        <v>8.928571428571427</v>
      </c>
      <c r="R29">
        <f t="shared" si="3"/>
        <v>72.704081632653057</v>
      </c>
      <c r="AC29" t="s">
        <v>85</v>
      </c>
      <c r="AD29" t="s">
        <v>85</v>
      </c>
    </row>
    <row r="30" spans="1:30" x14ac:dyDescent="0.35">
      <c r="A30" t="s">
        <v>4</v>
      </c>
      <c r="B30" s="19">
        <v>29</v>
      </c>
      <c r="C30" s="19" t="s">
        <v>129</v>
      </c>
      <c r="D30" s="19">
        <v>6</v>
      </c>
      <c r="E30" s="19" t="s">
        <v>128</v>
      </c>
      <c r="F30">
        <v>563</v>
      </c>
      <c r="G30" s="6">
        <v>14.92</v>
      </c>
      <c r="H30" s="4" t="s">
        <v>63</v>
      </c>
      <c r="I30" s="4" t="s">
        <v>61</v>
      </c>
      <c r="J30" s="19" t="s">
        <v>94</v>
      </c>
      <c r="K30" s="19">
        <v>6</v>
      </c>
      <c r="L30" s="17">
        <v>14.4</v>
      </c>
      <c r="M30">
        <v>7</v>
      </c>
      <c r="N30">
        <v>57</v>
      </c>
      <c r="O30">
        <f t="shared" si="0"/>
        <v>21.599999999999994</v>
      </c>
      <c r="P30">
        <f t="shared" si="1"/>
        <v>18.367346938775508</v>
      </c>
      <c r="Q30">
        <f t="shared" si="2"/>
        <v>8.928571428571427</v>
      </c>
      <c r="R30">
        <f t="shared" si="3"/>
        <v>72.704081632653057</v>
      </c>
      <c r="AC30" t="s">
        <v>85</v>
      </c>
      <c r="AD30" t="s">
        <v>85</v>
      </c>
    </row>
    <row r="31" spans="1:30" x14ac:dyDescent="0.35">
      <c r="A31" t="s">
        <v>4</v>
      </c>
      <c r="B31" s="19">
        <v>30</v>
      </c>
      <c r="C31" s="19" t="s">
        <v>129</v>
      </c>
      <c r="D31" s="19">
        <v>6</v>
      </c>
      <c r="E31" s="19" t="s">
        <v>128</v>
      </c>
      <c r="F31">
        <v>521</v>
      </c>
      <c r="G31" s="6">
        <v>7.7729999999999997</v>
      </c>
      <c r="H31" s="4" t="s">
        <v>63</v>
      </c>
      <c r="I31" s="4" t="s">
        <v>61</v>
      </c>
      <c r="J31" s="19" t="s">
        <v>95</v>
      </c>
      <c r="K31" s="19">
        <v>6</v>
      </c>
      <c r="L31" s="17">
        <v>14.4</v>
      </c>
      <c r="M31">
        <v>7</v>
      </c>
      <c r="N31">
        <v>57</v>
      </c>
      <c r="O31">
        <f t="shared" si="0"/>
        <v>21.599999999999994</v>
      </c>
      <c r="P31">
        <f t="shared" si="1"/>
        <v>18.367346938775508</v>
      </c>
      <c r="Q31">
        <f t="shared" si="2"/>
        <v>8.928571428571427</v>
      </c>
      <c r="R31">
        <f t="shared" si="3"/>
        <v>72.704081632653057</v>
      </c>
      <c r="AC31" t="s">
        <v>85</v>
      </c>
      <c r="AD31" t="s">
        <v>85</v>
      </c>
    </row>
    <row r="32" spans="1:30" x14ac:dyDescent="0.35">
      <c r="A32" t="s">
        <v>4</v>
      </c>
      <c r="B32" s="19">
        <v>31</v>
      </c>
      <c r="C32" s="19" t="s">
        <v>129</v>
      </c>
      <c r="D32" s="19">
        <v>6</v>
      </c>
      <c r="E32" s="19" t="s">
        <v>128</v>
      </c>
      <c r="F32">
        <v>423</v>
      </c>
      <c r="G32" s="6">
        <v>10.803000000000001</v>
      </c>
      <c r="H32" s="4" t="s">
        <v>63</v>
      </c>
      <c r="I32" s="4" t="s">
        <v>61</v>
      </c>
      <c r="J32" s="19" t="s">
        <v>96</v>
      </c>
      <c r="K32" s="19">
        <v>6</v>
      </c>
      <c r="L32" s="17">
        <v>14.4</v>
      </c>
      <c r="M32">
        <v>7</v>
      </c>
      <c r="N32">
        <v>57</v>
      </c>
      <c r="O32">
        <f t="shared" si="0"/>
        <v>21.599999999999994</v>
      </c>
      <c r="P32">
        <f t="shared" si="1"/>
        <v>18.367346938775508</v>
      </c>
      <c r="Q32">
        <f t="shared" si="2"/>
        <v>8.928571428571427</v>
      </c>
      <c r="R32">
        <f t="shared" si="3"/>
        <v>72.704081632653057</v>
      </c>
      <c r="AC32" t="s">
        <v>85</v>
      </c>
      <c r="AD32" t="s">
        <v>85</v>
      </c>
    </row>
    <row r="33" spans="1:31" x14ac:dyDescent="0.35">
      <c r="A33" t="s">
        <v>4</v>
      </c>
      <c r="B33" s="19">
        <v>32</v>
      </c>
      <c r="C33" s="19" t="s">
        <v>129</v>
      </c>
      <c r="D33" s="19">
        <v>6</v>
      </c>
      <c r="E33" s="19" t="s">
        <v>128</v>
      </c>
      <c r="F33">
        <v>352</v>
      </c>
      <c r="G33" s="6">
        <v>11.103</v>
      </c>
      <c r="H33" s="4" t="s">
        <v>63</v>
      </c>
      <c r="I33" s="4" t="s">
        <v>61</v>
      </c>
      <c r="J33" s="19" t="s">
        <v>97</v>
      </c>
      <c r="K33" s="19">
        <v>6</v>
      </c>
      <c r="L33" s="17">
        <v>14.4</v>
      </c>
      <c r="M33">
        <v>7</v>
      </c>
      <c r="N33">
        <v>57</v>
      </c>
      <c r="O33">
        <f t="shared" si="0"/>
        <v>21.599999999999994</v>
      </c>
      <c r="P33">
        <f t="shared" si="1"/>
        <v>18.367346938775508</v>
      </c>
      <c r="Q33">
        <f t="shared" si="2"/>
        <v>8.928571428571427</v>
      </c>
      <c r="R33">
        <f t="shared" si="3"/>
        <v>72.704081632653057</v>
      </c>
      <c r="AC33" t="s">
        <v>85</v>
      </c>
      <c r="AD33" t="s">
        <v>85</v>
      </c>
    </row>
    <row r="34" spans="1:31" x14ac:dyDescent="0.35">
      <c r="A34" t="s">
        <v>4</v>
      </c>
      <c r="B34" s="19">
        <v>33</v>
      </c>
      <c r="C34" s="19" t="s">
        <v>129</v>
      </c>
      <c r="D34" s="19">
        <v>6</v>
      </c>
      <c r="E34" s="19" t="s">
        <v>128</v>
      </c>
      <c r="F34">
        <v>497</v>
      </c>
      <c r="G34" s="6">
        <v>12.366</v>
      </c>
      <c r="H34" s="4" t="s">
        <v>63</v>
      </c>
      <c r="I34" s="4" t="s">
        <v>61</v>
      </c>
      <c r="J34" s="19" t="s">
        <v>98</v>
      </c>
      <c r="K34" s="19">
        <v>6</v>
      </c>
      <c r="L34" s="17">
        <v>14.4</v>
      </c>
      <c r="M34">
        <v>7</v>
      </c>
      <c r="N34">
        <v>57</v>
      </c>
      <c r="O34">
        <f t="shared" si="0"/>
        <v>21.599999999999994</v>
      </c>
      <c r="P34">
        <f t="shared" si="1"/>
        <v>18.367346938775508</v>
      </c>
      <c r="Q34">
        <f t="shared" si="2"/>
        <v>8.928571428571427</v>
      </c>
      <c r="R34">
        <f t="shared" si="3"/>
        <v>72.704081632653057</v>
      </c>
      <c r="AC34" t="s">
        <v>85</v>
      </c>
      <c r="AD34" t="s">
        <v>85</v>
      </c>
    </row>
    <row r="35" spans="1:31" x14ac:dyDescent="0.35">
      <c r="A35" t="s">
        <v>4</v>
      </c>
      <c r="B35" s="19">
        <v>34</v>
      </c>
      <c r="C35" s="19" t="s">
        <v>130</v>
      </c>
      <c r="D35" s="19">
        <v>7</v>
      </c>
      <c r="E35" s="19" t="s">
        <v>129</v>
      </c>
      <c r="F35">
        <v>370</v>
      </c>
      <c r="G35">
        <v>11.896000000000001</v>
      </c>
      <c r="H35" s="4" t="s">
        <v>63</v>
      </c>
      <c r="I35" s="4" t="s">
        <v>61</v>
      </c>
      <c r="J35" s="19">
        <v>1</v>
      </c>
      <c r="K35" s="19">
        <v>6</v>
      </c>
      <c r="L35" s="17">
        <v>14.4</v>
      </c>
      <c r="M35">
        <v>7</v>
      </c>
      <c r="N35">
        <v>57</v>
      </c>
      <c r="O35">
        <f t="shared" si="0"/>
        <v>21.599999999999994</v>
      </c>
      <c r="P35">
        <f t="shared" si="1"/>
        <v>18.367346938775508</v>
      </c>
      <c r="Q35">
        <f t="shared" si="2"/>
        <v>8.928571428571427</v>
      </c>
      <c r="R35">
        <f t="shared" si="3"/>
        <v>72.704081632653057</v>
      </c>
      <c r="Z35">
        <v>62.312500000000007</v>
      </c>
      <c r="AC35" t="s">
        <v>85</v>
      </c>
      <c r="AD35" t="s">
        <v>85</v>
      </c>
    </row>
    <row r="36" spans="1:31" x14ac:dyDescent="0.35">
      <c r="A36" t="s">
        <v>4</v>
      </c>
      <c r="B36" s="19">
        <v>35</v>
      </c>
      <c r="C36" s="19" t="s">
        <v>130</v>
      </c>
      <c r="D36" s="19">
        <v>7</v>
      </c>
      <c r="E36" s="19" t="s">
        <v>129</v>
      </c>
      <c r="F36">
        <v>426</v>
      </c>
      <c r="G36">
        <v>12.77</v>
      </c>
      <c r="H36" s="4" t="s">
        <v>63</v>
      </c>
      <c r="I36" s="4" t="s">
        <v>61</v>
      </c>
      <c r="J36" s="19">
        <v>2</v>
      </c>
      <c r="K36" s="19">
        <v>6</v>
      </c>
      <c r="L36" s="17">
        <v>14.4</v>
      </c>
      <c r="M36">
        <v>7</v>
      </c>
      <c r="N36">
        <v>57</v>
      </c>
      <c r="O36">
        <f t="shared" si="0"/>
        <v>21.599999999999994</v>
      </c>
      <c r="P36">
        <f t="shared" si="1"/>
        <v>18.367346938775508</v>
      </c>
      <c r="Q36">
        <f t="shared" si="2"/>
        <v>8.928571428571427</v>
      </c>
      <c r="R36">
        <f t="shared" si="3"/>
        <v>72.704081632653057</v>
      </c>
      <c r="Z36">
        <v>48.75</v>
      </c>
      <c r="AC36" t="s">
        <v>85</v>
      </c>
      <c r="AD36" t="s">
        <v>85</v>
      </c>
    </row>
    <row r="37" spans="1:31" x14ac:dyDescent="0.35">
      <c r="A37" t="s">
        <v>4</v>
      </c>
      <c r="B37" s="19">
        <v>36</v>
      </c>
      <c r="C37" s="19" t="s">
        <v>130</v>
      </c>
      <c r="D37" s="19">
        <v>7</v>
      </c>
      <c r="E37" s="19" t="s">
        <v>129</v>
      </c>
      <c r="F37">
        <v>221</v>
      </c>
      <c r="G37">
        <v>14.01</v>
      </c>
      <c r="H37" s="4" t="s">
        <v>63</v>
      </c>
      <c r="I37" s="4" t="s">
        <v>61</v>
      </c>
      <c r="J37" s="19">
        <v>3</v>
      </c>
      <c r="K37" s="19">
        <v>6</v>
      </c>
      <c r="L37" s="17">
        <v>14.4</v>
      </c>
      <c r="M37">
        <v>7</v>
      </c>
      <c r="N37">
        <v>57</v>
      </c>
      <c r="O37">
        <f t="shared" si="0"/>
        <v>21.599999999999994</v>
      </c>
      <c r="P37">
        <f t="shared" si="1"/>
        <v>18.367346938775508</v>
      </c>
      <c r="Q37">
        <f t="shared" si="2"/>
        <v>8.928571428571427</v>
      </c>
      <c r="R37">
        <f t="shared" si="3"/>
        <v>72.704081632653057</v>
      </c>
      <c r="Z37">
        <v>66.625</v>
      </c>
      <c r="AC37" t="s">
        <v>85</v>
      </c>
      <c r="AD37" t="s">
        <v>85</v>
      </c>
    </row>
    <row r="38" spans="1:31" x14ac:dyDescent="0.35">
      <c r="A38" t="s">
        <v>4</v>
      </c>
      <c r="B38" s="19">
        <v>37</v>
      </c>
      <c r="C38" s="19" t="s">
        <v>130</v>
      </c>
      <c r="D38" s="19">
        <v>7</v>
      </c>
      <c r="E38" s="19" t="s">
        <v>129</v>
      </c>
      <c r="F38">
        <v>188</v>
      </c>
      <c r="G38">
        <v>9.6649999999999991</v>
      </c>
      <c r="H38" s="4" t="s">
        <v>63</v>
      </c>
      <c r="I38" s="4" t="s">
        <v>61</v>
      </c>
      <c r="J38" s="19">
        <v>4</v>
      </c>
      <c r="K38" s="19">
        <v>6</v>
      </c>
      <c r="L38" s="17">
        <v>14.4</v>
      </c>
      <c r="M38">
        <v>7</v>
      </c>
      <c r="N38">
        <v>57</v>
      </c>
      <c r="O38">
        <f t="shared" si="0"/>
        <v>21.599999999999994</v>
      </c>
      <c r="P38">
        <f t="shared" si="1"/>
        <v>18.367346938775508</v>
      </c>
      <c r="Q38">
        <f t="shared" si="2"/>
        <v>8.928571428571427</v>
      </c>
      <c r="R38">
        <f t="shared" si="3"/>
        <v>72.704081632653057</v>
      </c>
      <c r="Z38">
        <v>67.8125</v>
      </c>
      <c r="AC38" t="s">
        <v>85</v>
      </c>
      <c r="AD38" t="s">
        <v>85</v>
      </c>
    </row>
    <row r="39" spans="1:31" x14ac:dyDescent="0.35">
      <c r="A39" t="s">
        <v>4</v>
      </c>
      <c r="B39" s="19">
        <v>38</v>
      </c>
      <c r="C39" s="19" t="s">
        <v>130</v>
      </c>
      <c r="D39" s="19">
        <v>7</v>
      </c>
      <c r="E39" s="19" t="s">
        <v>129</v>
      </c>
      <c r="F39">
        <v>152</v>
      </c>
      <c r="G39">
        <v>7.6980000000000004</v>
      </c>
      <c r="H39" s="4" t="s">
        <v>63</v>
      </c>
      <c r="I39" s="4" t="s">
        <v>61</v>
      </c>
      <c r="J39" s="19">
        <v>5</v>
      </c>
      <c r="K39" s="19">
        <v>6</v>
      </c>
      <c r="L39" s="17">
        <v>14.4</v>
      </c>
      <c r="M39">
        <v>7</v>
      </c>
      <c r="N39">
        <v>57</v>
      </c>
      <c r="O39">
        <f t="shared" si="0"/>
        <v>21.599999999999994</v>
      </c>
      <c r="P39">
        <f t="shared" si="1"/>
        <v>18.367346938775508</v>
      </c>
      <c r="Q39">
        <f t="shared" si="2"/>
        <v>8.928571428571427</v>
      </c>
      <c r="R39">
        <f t="shared" si="3"/>
        <v>72.704081632653057</v>
      </c>
      <c r="Z39">
        <v>65.6875</v>
      </c>
      <c r="AC39" t="s">
        <v>85</v>
      </c>
      <c r="AD39" t="s">
        <v>85</v>
      </c>
    </row>
    <row r="40" spans="1:31" x14ac:dyDescent="0.35">
      <c r="A40" t="s">
        <v>4</v>
      </c>
      <c r="B40" s="19">
        <v>39</v>
      </c>
      <c r="C40" s="19" t="s">
        <v>130</v>
      </c>
      <c r="D40" s="19">
        <v>7</v>
      </c>
      <c r="E40" s="19" t="s">
        <v>129</v>
      </c>
      <c r="F40">
        <v>190</v>
      </c>
      <c r="G40">
        <v>4.1859999999999999</v>
      </c>
      <c r="H40" s="4" t="s">
        <v>63</v>
      </c>
      <c r="I40" s="4" t="s">
        <v>61</v>
      </c>
      <c r="J40" s="19">
        <v>6</v>
      </c>
      <c r="K40" s="19">
        <v>6</v>
      </c>
      <c r="L40" s="17">
        <v>14.4</v>
      </c>
      <c r="M40">
        <v>7</v>
      </c>
      <c r="N40">
        <v>57</v>
      </c>
      <c r="O40">
        <f t="shared" si="0"/>
        <v>21.599999999999994</v>
      </c>
      <c r="P40">
        <f t="shared" si="1"/>
        <v>18.367346938775508</v>
      </c>
      <c r="Q40">
        <f t="shared" si="2"/>
        <v>8.928571428571427</v>
      </c>
      <c r="R40">
        <f t="shared" si="3"/>
        <v>72.704081632653057</v>
      </c>
      <c r="Z40">
        <v>70.374999999999986</v>
      </c>
      <c r="AC40" t="s">
        <v>85</v>
      </c>
      <c r="AD40" t="s">
        <v>85</v>
      </c>
    </row>
    <row r="41" spans="1:31" x14ac:dyDescent="0.35">
      <c r="A41" t="s">
        <v>4</v>
      </c>
      <c r="B41" s="19">
        <v>40</v>
      </c>
      <c r="C41" s="19" t="s">
        <v>130</v>
      </c>
      <c r="D41" s="19">
        <v>7</v>
      </c>
      <c r="E41" s="19" t="s">
        <v>129</v>
      </c>
      <c r="F41">
        <v>149</v>
      </c>
      <c r="G41">
        <v>5.774</v>
      </c>
      <c r="H41" s="4" t="s">
        <v>63</v>
      </c>
      <c r="I41" s="4" t="s">
        <v>61</v>
      </c>
      <c r="J41" s="19">
        <v>7</v>
      </c>
      <c r="K41" s="19">
        <v>6</v>
      </c>
      <c r="L41" s="17">
        <v>14.4</v>
      </c>
      <c r="M41">
        <v>7</v>
      </c>
      <c r="N41">
        <v>57</v>
      </c>
      <c r="O41">
        <f t="shared" si="0"/>
        <v>21.599999999999994</v>
      </c>
      <c r="P41">
        <f t="shared" si="1"/>
        <v>18.367346938775508</v>
      </c>
      <c r="Q41">
        <f t="shared" si="2"/>
        <v>8.928571428571427</v>
      </c>
      <c r="R41">
        <f t="shared" si="3"/>
        <v>72.704081632653057</v>
      </c>
      <c r="Z41">
        <v>64.375</v>
      </c>
      <c r="AC41" t="s">
        <v>85</v>
      </c>
      <c r="AD41" t="s">
        <v>85</v>
      </c>
    </row>
    <row r="42" spans="1:31" x14ac:dyDescent="0.35">
      <c r="A42" t="s">
        <v>4</v>
      </c>
      <c r="B42" s="19">
        <v>41</v>
      </c>
      <c r="C42" s="19" t="s">
        <v>130</v>
      </c>
      <c r="D42" s="19">
        <v>7</v>
      </c>
      <c r="E42" s="19" t="s">
        <v>129</v>
      </c>
      <c r="F42">
        <v>155</v>
      </c>
      <c r="G42">
        <v>9.8079999999999998</v>
      </c>
      <c r="H42" s="4" t="s">
        <v>63</v>
      </c>
      <c r="I42" s="4" t="s">
        <v>61</v>
      </c>
      <c r="J42" s="19">
        <v>8</v>
      </c>
      <c r="K42" s="19">
        <v>6</v>
      </c>
      <c r="L42" s="17">
        <v>14.4</v>
      </c>
      <c r="M42">
        <v>7</v>
      </c>
      <c r="N42">
        <v>57</v>
      </c>
      <c r="O42">
        <f t="shared" si="0"/>
        <v>21.599999999999994</v>
      </c>
      <c r="P42">
        <f t="shared" si="1"/>
        <v>18.367346938775508</v>
      </c>
      <c r="Q42">
        <f t="shared" si="2"/>
        <v>8.928571428571427</v>
      </c>
      <c r="R42">
        <f t="shared" si="3"/>
        <v>72.704081632653057</v>
      </c>
      <c r="Z42">
        <v>54.75</v>
      </c>
      <c r="AC42" t="s">
        <v>85</v>
      </c>
      <c r="AD42" t="s">
        <v>85</v>
      </c>
    </row>
    <row r="43" spans="1:31" x14ac:dyDescent="0.35">
      <c r="A43" t="s">
        <v>8</v>
      </c>
      <c r="B43" s="19">
        <v>1</v>
      </c>
      <c r="C43" s="19" t="s">
        <v>125</v>
      </c>
      <c r="D43" s="19">
        <v>2</v>
      </c>
      <c r="E43" s="19" t="s">
        <v>125</v>
      </c>
      <c r="F43">
        <v>265</v>
      </c>
      <c r="G43" s="6">
        <v>4.9269999999999996</v>
      </c>
      <c r="H43" s="14" t="s">
        <v>62</v>
      </c>
      <c r="I43" s="4" t="s">
        <v>82</v>
      </c>
      <c r="J43" s="19">
        <v>1</v>
      </c>
      <c r="K43" s="19">
        <v>6</v>
      </c>
      <c r="L43" s="17">
        <v>5.3</v>
      </c>
      <c r="M43">
        <v>2.2999999999999998</v>
      </c>
      <c r="N43">
        <v>62</v>
      </c>
      <c r="O43">
        <f t="shared" si="0"/>
        <v>30.400000000000006</v>
      </c>
      <c r="P43">
        <f t="shared" si="1"/>
        <v>7.6149425287356323</v>
      </c>
      <c r="Q43">
        <f t="shared" si="2"/>
        <v>3.3045977011494254</v>
      </c>
      <c r="R43">
        <f t="shared" si="3"/>
        <v>89.080459770114956</v>
      </c>
      <c r="AC43" t="s">
        <v>85</v>
      </c>
      <c r="AD43" t="s">
        <v>85</v>
      </c>
      <c r="AE43" t="s">
        <v>85</v>
      </c>
    </row>
    <row r="44" spans="1:31" x14ac:dyDescent="0.35">
      <c r="A44" t="s">
        <v>8</v>
      </c>
      <c r="B44" s="19">
        <v>2</v>
      </c>
      <c r="C44" s="19" t="s">
        <v>125</v>
      </c>
      <c r="D44" s="19">
        <v>2</v>
      </c>
      <c r="E44" s="19" t="s">
        <v>125</v>
      </c>
      <c r="F44">
        <v>473</v>
      </c>
      <c r="G44" s="6">
        <v>5.8979999999999997</v>
      </c>
      <c r="H44" s="14" t="s">
        <v>62</v>
      </c>
      <c r="I44" s="4" t="s">
        <v>82</v>
      </c>
      <c r="J44" s="19">
        <v>2</v>
      </c>
      <c r="K44" s="19">
        <v>6</v>
      </c>
      <c r="L44" s="17">
        <v>5.3</v>
      </c>
      <c r="M44">
        <v>2.2999999999999998</v>
      </c>
      <c r="N44">
        <v>62</v>
      </c>
      <c r="O44">
        <f t="shared" si="0"/>
        <v>30.400000000000006</v>
      </c>
      <c r="P44">
        <f t="shared" si="1"/>
        <v>7.6149425287356323</v>
      </c>
      <c r="Q44">
        <f t="shared" si="2"/>
        <v>3.3045977011494254</v>
      </c>
      <c r="R44">
        <f t="shared" si="3"/>
        <v>89.080459770114956</v>
      </c>
      <c r="AC44" t="s">
        <v>85</v>
      </c>
      <c r="AD44" t="s">
        <v>85</v>
      </c>
      <c r="AE44" t="s">
        <v>85</v>
      </c>
    </row>
    <row r="45" spans="1:31" x14ac:dyDescent="0.35">
      <c r="A45" t="s">
        <v>8</v>
      </c>
      <c r="B45" s="19">
        <v>3</v>
      </c>
      <c r="C45" s="19" t="s">
        <v>125</v>
      </c>
      <c r="D45" s="19">
        <v>2</v>
      </c>
      <c r="E45" s="19" t="s">
        <v>125</v>
      </c>
      <c r="F45">
        <f>444+201</f>
        <v>645</v>
      </c>
      <c r="G45" s="6">
        <v>10.266</v>
      </c>
      <c r="H45" s="14" t="s">
        <v>62</v>
      </c>
      <c r="I45" s="4" t="s">
        <v>82</v>
      </c>
      <c r="J45" s="19">
        <v>3</v>
      </c>
      <c r="K45" s="19">
        <v>6</v>
      </c>
      <c r="L45" s="17">
        <v>5.3</v>
      </c>
      <c r="M45">
        <v>2.2999999999999998</v>
      </c>
      <c r="N45">
        <v>62</v>
      </c>
      <c r="O45">
        <f t="shared" si="0"/>
        <v>30.400000000000006</v>
      </c>
      <c r="P45">
        <f t="shared" si="1"/>
        <v>7.6149425287356323</v>
      </c>
      <c r="Q45">
        <f t="shared" si="2"/>
        <v>3.3045977011494254</v>
      </c>
      <c r="R45">
        <f t="shared" si="3"/>
        <v>89.080459770114956</v>
      </c>
      <c r="S45" s="4">
        <v>0.32412212073470192</v>
      </c>
      <c r="T45" s="4">
        <v>0.12520403679413022</v>
      </c>
      <c r="U45" s="4">
        <v>2.9707775863154455</v>
      </c>
      <c r="V45" s="4">
        <v>0.27494353487313683</v>
      </c>
      <c r="W45" s="4">
        <v>5.2380696959322334E-2</v>
      </c>
      <c r="X45" s="4">
        <v>3.7474279756767368</v>
      </c>
      <c r="Y45" s="4">
        <v>20.044330192699633</v>
      </c>
      <c r="Z45">
        <v>69.4375</v>
      </c>
      <c r="AA45" s="4">
        <v>2.9999999999999361E-2</v>
      </c>
      <c r="AB45" s="4">
        <v>1.8927444794952268</v>
      </c>
      <c r="AC45" t="s">
        <v>85</v>
      </c>
      <c r="AD45" t="s">
        <v>85</v>
      </c>
    </row>
    <row r="46" spans="1:31" x14ac:dyDescent="0.35">
      <c r="A46" t="s">
        <v>8</v>
      </c>
      <c r="B46" s="19">
        <v>4</v>
      </c>
      <c r="C46" s="19" t="s">
        <v>125</v>
      </c>
      <c r="D46" s="19">
        <v>2</v>
      </c>
      <c r="E46" s="19" t="s">
        <v>125</v>
      </c>
      <c r="F46">
        <f>258+235</f>
        <v>493</v>
      </c>
      <c r="G46" s="6">
        <v>10.122999999999999</v>
      </c>
      <c r="H46" s="14" t="s">
        <v>62</v>
      </c>
      <c r="I46" s="4" t="s">
        <v>82</v>
      </c>
      <c r="J46" s="19">
        <v>4</v>
      </c>
      <c r="K46" s="19">
        <v>6</v>
      </c>
      <c r="L46" s="17">
        <v>5.3</v>
      </c>
      <c r="M46">
        <v>2.2999999999999998</v>
      </c>
      <c r="N46">
        <v>62</v>
      </c>
      <c r="O46">
        <f t="shared" si="0"/>
        <v>30.400000000000006</v>
      </c>
      <c r="P46">
        <f t="shared" si="1"/>
        <v>7.6149425287356323</v>
      </c>
      <c r="Q46">
        <f t="shared" si="2"/>
        <v>3.3045977011494254</v>
      </c>
      <c r="R46">
        <f t="shared" si="3"/>
        <v>89.080459770114956</v>
      </c>
      <c r="S46" s="4">
        <v>0.43545703552111253</v>
      </c>
      <c r="T46" s="4">
        <v>0.15024073260062393</v>
      </c>
      <c r="U46" s="4">
        <v>3.2166801095163304</v>
      </c>
      <c r="V46" s="4">
        <v>0.30782723664720091</v>
      </c>
      <c r="W46" s="4">
        <v>6.1191602920591295E-2</v>
      </c>
      <c r="X46" s="4">
        <v>4.1713967172058597</v>
      </c>
      <c r="Y46" s="4">
        <v>24.880377492817296</v>
      </c>
      <c r="Z46">
        <v>69.125</v>
      </c>
      <c r="AA46" s="4">
        <v>0.13399999999999945</v>
      </c>
      <c r="AB46" s="4">
        <v>6.9646569646569345</v>
      </c>
      <c r="AC46" t="s">
        <v>85</v>
      </c>
      <c r="AD46" t="s">
        <v>85</v>
      </c>
    </row>
    <row r="47" spans="1:31" x14ac:dyDescent="0.35">
      <c r="A47" t="s">
        <v>8</v>
      </c>
      <c r="B47" s="19">
        <v>5</v>
      </c>
      <c r="C47" s="19" t="s">
        <v>125</v>
      </c>
      <c r="D47" s="19">
        <v>2</v>
      </c>
      <c r="E47" s="19" t="s">
        <v>125</v>
      </c>
      <c r="F47">
        <f>323+244</f>
        <v>567</v>
      </c>
      <c r="G47" s="6">
        <v>10.65</v>
      </c>
      <c r="H47" s="14" t="s">
        <v>62</v>
      </c>
      <c r="I47" s="4" t="s">
        <v>82</v>
      </c>
      <c r="J47" s="19">
        <v>5</v>
      </c>
      <c r="K47" s="19">
        <v>6</v>
      </c>
      <c r="L47" s="17">
        <v>5.3</v>
      </c>
      <c r="M47">
        <v>2.2999999999999998</v>
      </c>
      <c r="N47">
        <v>62</v>
      </c>
      <c r="O47">
        <f t="shared" si="0"/>
        <v>30.400000000000006</v>
      </c>
      <c r="P47">
        <f t="shared" si="1"/>
        <v>7.6149425287356323</v>
      </c>
      <c r="Q47">
        <f t="shared" si="2"/>
        <v>3.3045977011494254</v>
      </c>
      <c r="R47">
        <f t="shared" si="3"/>
        <v>89.080459770114956</v>
      </c>
      <c r="S47" s="4">
        <v>0.30470229214781536</v>
      </c>
      <c r="T47" s="4">
        <v>0.11139692936691867</v>
      </c>
      <c r="U47" s="4">
        <v>2.4275243375352393</v>
      </c>
      <c r="V47" s="4">
        <v>0.24731409316852357</v>
      </c>
      <c r="W47" s="4">
        <v>5.0022022119779866E-2</v>
      </c>
      <c r="X47" s="4">
        <v>3.1409596743382768</v>
      </c>
      <c r="Y47" s="4">
        <v>18.363753042024978</v>
      </c>
      <c r="Z47">
        <v>66.875</v>
      </c>
      <c r="AA47" s="4">
        <v>0.14700000000000024</v>
      </c>
      <c r="AB47" s="4">
        <v>7.7044025157232854</v>
      </c>
      <c r="AC47" t="s">
        <v>85</v>
      </c>
      <c r="AD47" t="s">
        <v>85</v>
      </c>
    </row>
    <row r="48" spans="1:31" x14ac:dyDescent="0.35">
      <c r="A48" t="s">
        <v>8</v>
      </c>
      <c r="B48" s="19">
        <v>6</v>
      </c>
      <c r="C48" s="19" t="s">
        <v>125</v>
      </c>
      <c r="D48" s="19">
        <v>2</v>
      </c>
      <c r="E48" s="19" t="s">
        <v>125</v>
      </c>
      <c r="F48">
        <v>322</v>
      </c>
      <c r="G48" s="6">
        <v>6.8310000000000004</v>
      </c>
      <c r="H48" s="14" t="s">
        <v>62</v>
      </c>
      <c r="I48" s="4" t="s">
        <v>82</v>
      </c>
      <c r="J48" s="19">
        <v>6</v>
      </c>
      <c r="K48" s="19">
        <v>6</v>
      </c>
      <c r="L48" s="17">
        <v>5.3</v>
      </c>
      <c r="M48">
        <v>2.2999999999999998</v>
      </c>
      <c r="N48">
        <v>62</v>
      </c>
      <c r="O48">
        <f t="shared" si="0"/>
        <v>30.400000000000006</v>
      </c>
      <c r="P48">
        <f t="shared" si="1"/>
        <v>7.6149425287356323</v>
      </c>
      <c r="Q48">
        <f t="shared" si="2"/>
        <v>3.3045977011494254</v>
      </c>
      <c r="R48">
        <f t="shared" si="3"/>
        <v>89.080459770114956</v>
      </c>
      <c r="S48" s="4">
        <v>0.65545504385659648</v>
      </c>
      <c r="T48" s="4">
        <v>0.11053236360334621</v>
      </c>
      <c r="U48" s="4">
        <v>3.6232282942728502</v>
      </c>
      <c r="V48" s="4">
        <v>0.25488087493961231</v>
      </c>
      <c r="W48" s="4">
        <v>2.4832318885038472E-2</v>
      </c>
      <c r="X48" s="4">
        <v>4.6689288955574435</v>
      </c>
      <c r="Y48" s="4">
        <v>49.205714029320347</v>
      </c>
      <c r="Z48">
        <v>61.124999999999993</v>
      </c>
      <c r="AA48" s="4">
        <v>0.10299999999999976</v>
      </c>
      <c r="AB48" s="4">
        <v>5.9883720930232451</v>
      </c>
      <c r="AC48" t="s">
        <v>85</v>
      </c>
      <c r="AD48" t="s">
        <v>85</v>
      </c>
    </row>
    <row r="49" spans="1:35" x14ac:dyDescent="0.35">
      <c r="A49" t="s">
        <v>8</v>
      </c>
      <c r="B49" s="19">
        <v>7</v>
      </c>
      <c r="C49" s="19" t="s">
        <v>125</v>
      </c>
      <c r="D49" s="19">
        <v>2</v>
      </c>
      <c r="E49" s="19" t="s">
        <v>125</v>
      </c>
      <c r="F49">
        <v>477</v>
      </c>
      <c r="G49" s="6">
        <v>8.6229999999999993</v>
      </c>
      <c r="H49" s="14" t="s">
        <v>62</v>
      </c>
      <c r="I49" s="4" t="s">
        <v>82</v>
      </c>
      <c r="J49" s="19">
        <v>7</v>
      </c>
      <c r="K49" s="19">
        <v>6</v>
      </c>
      <c r="L49" s="17">
        <v>5.3</v>
      </c>
      <c r="M49">
        <v>2.2999999999999998</v>
      </c>
      <c r="N49">
        <v>62</v>
      </c>
      <c r="O49">
        <f t="shared" si="0"/>
        <v>30.400000000000006</v>
      </c>
      <c r="P49">
        <f t="shared" si="1"/>
        <v>7.6149425287356323</v>
      </c>
      <c r="Q49">
        <f t="shared" si="2"/>
        <v>3.3045977011494254</v>
      </c>
      <c r="R49">
        <f t="shared" si="3"/>
        <v>89.080459770114956</v>
      </c>
      <c r="S49" s="4">
        <v>0.69289487760750545</v>
      </c>
      <c r="T49" s="4">
        <v>0.17033872154598467</v>
      </c>
      <c r="U49" s="4">
        <v>4.2539444001533386</v>
      </c>
      <c r="V49" s="4">
        <v>0.3401577010618948</v>
      </c>
      <c r="W49" s="4">
        <v>8.1466921056089409E-2</v>
      </c>
      <c r="X49" s="4">
        <v>5.5388026214248125</v>
      </c>
      <c r="Y49" s="4">
        <v>30.566234537501888</v>
      </c>
      <c r="Z49">
        <v>66.5</v>
      </c>
      <c r="AA49" s="4">
        <v>0.14200000000000124</v>
      </c>
      <c r="AB49" s="4">
        <v>6.6077245230340242</v>
      </c>
      <c r="AC49" t="s">
        <v>85</v>
      </c>
      <c r="AD49" t="s">
        <v>85</v>
      </c>
      <c r="AH49" s="5"/>
      <c r="AI49" s="6"/>
    </row>
    <row r="50" spans="1:35" x14ac:dyDescent="0.35">
      <c r="A50" t="s">
        <v>8</v>
      </c>
      <c r="B50" s="19">
        <v>8</v>
      </c>
      <c r="C50" s="19" t="s">
        <v>125</v>
      </c>
      <c r="D50" s="19">
        <v>2</v>
      </c>
      <c r="E50" s="19" t="s">
        <v>125</v>
      </c>
      <c r="F50">
        <v>311</v>
      </c>
      <c r="G50" s="6">
        <v>6.4950000000000001</v>
      </c>
      <c r="H50" s="14" t="s">
        <v>62</v>
      </c>
      <c r="I50" s="4" t="s">
        <v>82</v>
      </c>
      <c r="J50" s="19">
        <v>8</v>
      </c>
      <c r="K50" s="19">
        <v>6</v>
      </c>
      <c r="L50" s="17">
        <v>5.3</v>
      </c>
      <c r="M50">
        <v>2.2999999999999998</v>
      </c>
      <c r="N50">
        <v>62</v>
      </c>
      <c r="O50">
        <f t="shared" si="0"/>
        <v>30.400000000000006</v>
      </c>
      <c r="P50">
        <f t="shared" si="1"/>
        <v>7.6149425287356323</v>
      </c>
      <c r="Q50">
        <f t="shared" si="2"/>
        <v>3.3045977011494254</v>
      </c>
      <c r="R50">
        <f t="shared" si="3"/>
        <v>89.080459770114956</v>
      </c>
      <c r="AC50" t="s">
        <v>85</v>
      </c>
      <c r="AD50" t="s">
        <v>85</v>
      </c>
      <c r="AH50" s="3"/>
      <c r="AI50" s="3"/>
    </row>
    <row r="51" spans="1:35" x14ac:dyDescent="0.35">
      <c r="A51" t="s">
        <v>8</v>
      </c>
      <c r="B51" s="19">
        <v>9</v>
      </c>
      <c r="C51" s="19" t="s">
        <v>124</v>
      </c>
      <c r="D51" s="19">
        <v>1</v>
      </c>
      <c r="F51">
        <v>133</v>
      </c>
      <c r="G51">
        <v>2.6760000000000002</v>
      </c>
      <c r="H51" s="14" t="s">
        <v>62</v>
      </c>
      <c r="I51" s="4" t="s">
        <v>82</v>
      </c>
      <c r="J51" s="19">
        <v>1</v>
      </c>
      <c r="K51" s="19">
        <v>6</v>
      </c>
      <c r="L51" s="17">
        <v>5.3</v>
      </c>
      <c r="M51">
        <v>2.2999999999999998</v>
      </c>
      <c r="N51">
        <v>62</v>
      </c>
      <c r="O51">
        <f t="shared" si="0"/>
        <v>30.400000000000006</v>
      </c>
      <c r="P51">
        <f t="shared" si="1"/>
        <v>7.6149425287356323</v>
      </c>
      <c r="Q51">
        <f t="shared" si="2"/>
        <v>3.3045977011494254</v>
      </c>
      <c r="R51">
        <f t="shared" si="3"/>
        <v>89.080459770114956</v>
      </c>
      <c r="AC51" t="s">
        <v>87</v>
      </c>
      <c r="AD51" t="s">
        <v>87</v>
      </c>
    </row>
    <row r="52" spans="1:35" x14ac:dyDescent="0.35">
      <c r="A52" t="s">
        <v>8</v>
      </c>
      <c r="B52" s="19">
        <v>10</v>
      </c>
      <c r="C52" s="19" t="s">
        <v>124</v>
      </c>
      <c r="D52" s="19">
        <v>1</v>
      </c>
      <c r="F52">
        <v>182</v>
      </c>
      <c r="G52">
        <v>2.8029999999999999</v>
      </c>
      <c r="H52" s="14" t="s">
        <v>62</v>
      </c>
      <c r="I52" s="4" t="s">
        <v>82</v>
      </c>
      <c r="J52" s="19">
        <v>2</v>
      </c>
      <c r="K52" s="19">
        <v>6</v>
      </c>
      <c r="L52" s="17">
        <v>5.3</v>
      </c>
      <c r="M52">
        <v>2.2999999999999998</v>
      </c>
      <c r="N52">
        <v>62</v>
      </c>
      <c r="O52">
        <f t="shared" si="0"/>
        <v>30.400000000000006</v>
      </c>
      <c r="P52">
        <f t="shared" si="1"/>
        <v>7.6149425287356323</v>
      </c>
      <c r="Q52">
        <f t="shared" si="2"/>
        <v>3.3045977011494254</v>
      </c>
      <c r="R52">
        <f t="shared" si="3"/>
        <v>89.080459770114956</v>
      </c>
      <c r="AC52" t="s">
        <v>87</v>
      </c>
      <c r="AD52" t="s">
        <v>87</v>
      </c>
    </row>
    <row r="53" spans="1:35" x14ac:dyDescent="0.35">
      <c r="A53" t="s">
        <v>9</v>
      </c>
      <c r="B53" s="19">
        <v>1</v>
      </c>
      <c r="C53" s="19" t="s">
        <v>125</v>
      </c>
      <c r="D53" s="19">
        <v>2</v>
      </c>
      <c r="E53" s="19" t="s">
        <v>125</v>
      </c>
      <c r="F53">
        <v>308</v>
      </c>
      <c r="G53" s="6">
        <v>4.2430000000000003</v>
      </c>
      <c r="H53" s="14" t="s">
        <v>62</v>
      </c>
      <c r="I53" s="4" t="s">
        <v>82</v>
      </c>
      <c r="J53" s="19">
        <v>1</v>
      </c>
      <c r="K53" s="19">
        <v>6</v>
      </c>
      <c r="L53" s="17">
        <v>0.5</v>
      </c>
      <c r="M53">
        <v>0.1</v>
      </c>
      <c r="N53">
        <v>85</v>
      </c>
      <c r="O53">
        <f t="shared" si="0"/>
        <v>14.400000000000006</v>
      </c>
      <c r="P53">
        <f t="shared" si="1"/>
        <v>0.5841121495327104</v>
      </c>
      <c r="Q53">
        <f t="shared" si="2"/>
        <v>0.11682242990654207</v>
      </c>
      <c r="R53">
        <f t="shared" si="3"/>
        <v>99.299065420560751</v>
      </c>
      <c r="S53" s="4">
        <v>0.35112061191253341</v>
      </c>
      <c r="T53" s="4">
        <v>0.17112239902203652</v>
      </c>
      <c r="U53" s="4">
        <v>2.3679747210380415</v>
      </c>
      <c r="V53" s="4">
        <v>0.31988908171760955</v>
      </c>
      <c r="W53" s="4">
        <v>1.5582192151732689E-2</v>
      </c>
      <c r="X53" s="4">
        <v>3.2256890058419532</v>
      </c>
      <c r="Y53" s="4">
        <v>23.818063126975883</v>
      </c>
      <c r="Z53">
        <v>79.187500000000014</v>
      </c>
      <c r="AA53">
        <v>0.17500000000000071</v>
      </c>
      <c r="AB53">
        <v>9.4238018309101026</v>
      </c>
      <c r="AC53" t="s">
        <v>85</v>
      </c>
      <c r="AD53" t="s">
        <v>85</v>
      </c>
    </row>
    <row r="54" spans="1:35" x14ac:dyDescent="0.35">
      <c r="A54" t="s">
        <v>9</v>
      </c>
      <c r="B54" s="19">
        <v>2</v>
      </c>
      <c r="C54" s="19" t="s">
        <v>125</v>
      </c>
      <c r="D54" s="19">
        <v>2</v>
      </c>
      <c r="E54" s="19" t="s">
        <v>125</v>
      </c>
      <c r="F54">
        <v>277</v>
      </c>
      <c r="G54" s="6">
        <v>4.7130000000000001</v>
      </c>
      <c r="H54" s="14" t="s">
        <v>62</v>
      </c>
      <c r="I54" s="4" t="s">
        <v>82</v>
      </c>
      <c r="J54" s="19">
        <v>2</v>
      </c>
      <c r="K54" s="19">
        <v>6</v>
      </c>
      <c r="L54" s="17">
        <v>0.5</v>
      </c>
      <c r="M54">
        <v>0.1</v>
      </c>
      <c r="N54">
        <v>85</v>
      </c>
      <c r="O54">
        <f t="shared" si="0"/>
        <v>14.400000000000006</v>
      </c>
      <c r="P54">
        <f t="shared" si="1"/>
        <v>0.5841121495327104</v>
      </c>
      <c r="Q54">
        <f t="shared" si="2"/>
        <v>0.11682242990654207</v>
      </c>
      <c r="R54">
        <f t="shared" si="3"/>
        <v>99.299065420560751</v>
      </c>
      <c r="S54" s="4">
        <v>0.25244408638683657</v>
      </c>
      <c r="T54" s="4">
        <v>0.16623346459262642</v>
      </c>
      <c r="U54" s="4">
        <v>2.1180679611539608</v>
      </c>
      <c r="V54" s="4">
        <v>0.29711411724643133</v>
      </c>
      <c r="W54" s="4">
        <v>1.9297380993166982E-2</v>
      </c>
      <c r="X54" s="4">
        <v>2.8531570103730224</v>
      </c>
      <c r="Y54" s="4">
        <v>22.458016388230245</v>
      </c>
      <c r="Z54">
        <v>74.3125</v>
      </c>
      <c r="AA54">
        <v>0.1379999999999999</v>
      </c>
      <c r="AB54">
        <v>7.1465561885033644</v>
      </c>
      <c r="AC54" t="s">
        <v>85</v>
      </c>
      <c r="AD54" t="s">
        <v>85</v>
      </c>
    </row>
    <row r="55" spans="1:35" x14ac:dyDescent="0.35">
      <c r="A55" t="s">
        <v>9</v>
      </c>
      <c r="B55" s="19">
        <v>3</v>
      </c>
      <c r="C55" s="19" t="s">
        <v>125</v>
      </c>
      <c r="D55" s="19">
        <v>2</v>
      </c>
      <c r="E55" s="19" t="s">
        <v>125</v>
      </c>
      <c r="F55">
        <v>318</v>
      </c>
      <c r="G55" s="6">
        <v>4.7480000000000002</v>
      </c>
      <c r="H55" s="14" t="s">
        <v>62</v>
      </c>
      <c r="I55" s="4" t="s">
        <v>82</v>
      </c>
      <c r="J55" s="19">
        <v>3</v>
      </c>
      <c r="K55" s="19">
        <v>6</v>
      </c>
      <c r="L55" s="17">
        <v>0.5</v>
      </c>
      <c r="M55">
        <v>0.1</v>
      </c>
      <c r="N55">
        <v>85</v>
      </c>
      <c r="O55">
        <f t="shared" si="0"/>
        <v>14.400000000000006</v>
      </c>
      <c r="P55">
        <f t="shared" si="1"/>
        <v>0.5841121495327104</v>
      </c>
      <c r="Q55">
        <f t="shared" si="2"/>
        <v>0.11682242990654207</v>
      </c>
      <c r="R55">
        <f t="shared" si="3"/>
        <v>99.299065420560751</v>
      </c>
      <c r="S55" s="4">
        <v>0.18605607967513454</v>
      </c>
      <c r="T55" s="4">
        <v>0.14341139607474521</v>
      </c>
      <c r="U55" s="4">
        <v>1.7950845462665459</v>
      </c>
      <c r="V55" s="4">
        <v>0.22846670931985244</v>
      </c>
      <c r="W55" s="4">
        <v>1.7660320976422107E-2</v>
      </c>
      <c r="X55" s="4">
        <v>2.3706790523126999</v>
      </c>
      <c r="Y55" s="4">
        <v>19.10218890927414</v>
      </c>
      <c r="Z55">
        <v>75.062500000000014</v>
      </c>
      <c r="AA55">
        <v>0.10200000000000031</v>
      </c>
      <c r="AB55">
        <v>5.3599579611140458</v>
      </c>
      <c r="AC55" t="s">
        <v>85</v>
      </c>
      <c r="AD55" t="s">
        <v>85</v>
      </c>
    </row>
    <row r="56" spans="1:35" x14ac:dyDescent="0.35">
      <c r="A56" t="s">
        <v>9</v>
      </c>
      <c r="B56" s="19">
        <v>4</v>
      </c>
      <c r="C56" s="19" t="s">
        <v>125</v>
      </c>
      <c r="D56" s="19">
        <v>2</v>
      </c>
      <c r="E56" s="19" t="s">
        <v>125</v>
      </c>
      <c r="F56">
        <v>198</v>
      </c>
      <c r="G56" s="6">
        <v>2.0459999999999998</v>
      </c>
      <c r="H56" s="14" t="s">
        <v>62</v>
      </c>
      <c r="I56" s="4" t="s">
        <v>82</v>
      </c>
      <c r="J56" s="19">
        <v>4</v>
      </c>
      <c r="K56" s="19">
        <v>6</v>
      </c>
      <c r="L56" s="17">
        <v>0.5</v>
      </c>
      <c r="M56">
        <v>0.1</v>
      </c>
      <c r="N56">
        <v>85</v>
      </c>
      <c r="O56">
        <f t="shared" si="0"/>
        <v>14.400000000000006</v>
      </c>
      <c r="P56">
        <f t="shared" si="1"/>
        <v>0.5841121495327104</v>
      </c>
      <c r="Q56">
        <f t="shared" si="2"/>
        <v>0.11682242990654207</v>
      </c>
      <c r="R56">
        <f t="shared" si="3"/>
        <v>99.299065420560751</v>
      </c>
      <c r="AC56" t="s">
        <v>85</v>
      </c>
      <c r="AD56" t="s">
        <v>85</v>
      </c>
    </row>
    <row r="57" spans="1:35" x14ac:dyDescent="0.35">
      <c r="A57" t="s">
        <v>9</v>
      </c>
      <c r="B57" s="19">
        <v>5</v>
      </c>
      <c r="C57" s="19" t="s">
        <v>125</v>
      </c>
      <c r="D57" s="19">
        <v>2</v>
      </c>
      <c r="E57" s="19" t="s">
        <v>125</v>
      </c>
      <c r="F57">
        <v>391</v>
      </c>
      <c r="G57" s="6">
        <v>3.9420000000000002</v>
      </c>
      <c r="H57" s="14" t="s">
        <v>62</v>
      </c>
      <c r="I57" s="4" t="s">
        <v>82</v>
      </c>
      <c r="J57" s="19">
        <v>5</v>
      </c>
      <c r="K57" s="19">
        <v>6</v>
      </c>
      <c r="L57" s="17">
        <v>0.5</v>
      </c>
      <c r="M57">
        <v>0.1</v>
      </c>
      <c r="N57">
        <v>85</v>
      </c>
      <c r="O57">
        <f t="shared" si="0"/>
        <v>14.400000000000006</v>
      </c>
      <c r="P57">
        <f t="shared" si="1"/>
        <v>0.5841121495327104</v>
      </c>
      <c r="Q57">
        <f t="shared" si="2"/>
        <v>0.11682242990654207</v>
      </c>
      <c r="R57">
        <f t="shared" si="3"/>
        <v>99.299065420560751</v>
      </c>
      <c r="S57" s="4">
        <v>0.15236931214462232</v>
      </c>
      <c r="T57" s="4">
        <v>0.14223411312985956</v>
      </c>
      <c r="U57" s="4">
        <v>1.9086409975852652</v>
      </c>
      <c r="V57" s="4">
        <v>0.21081489286413277</v>
      </c>
      <c r="W57" s="4">
        <v>9.797395931305488E-3</v>
      </c>
      <c r="X57" s="4">
        <v>2.4238567116551852</v>
      </c>
      <c r="Y57" s="4">
        <v>17.913088834813976</v>
      </c>
      <c r="Z57">
        <v>75.8125</v>
      </c>
      <c r="AA57">
        <v>0.11600000000000055</v>
      </c>
      <c r="AB57">
        <v>6.0637741766858637</v>
      </c>
      <c r="AC57" t="s">
        <v>85</v>
      </c>
      <c r="AD57" t="s">
        <v>85</v>
      </c>
    </row>
    <row r="58" spans="1:35" x14ac:dyDescent="0.35">
      <c r="A58" t="s">
        <v>9</v>
      </c>
      <c r="B58" s="19">
        <v>6</v>
      </c>
      <c r="C58" s="19" t="s">
        <v>125</v>
      </c>
      <c r="D58" s="19">
        <v>2</v>
      </c>
      <c r="E58" s="19" t="s">
        <v>125</v>
      </c>
      <c r="F58">
        <v>393</v>
      </c>
      <c r="G58" s="6">
        <v>4.3369999999999997</v>
      </c>
      <c r="H58" s="14" t="s">
        <v>62</v>
      </c>
      <c r="I58" s="4" t="s">
        <v>82</v>
      </c>
      <c r="J58" s="19">
        <v>6</v>
      </c>
      <c r="K58" s="19">
        <v>6</v>
      </c>
      <c r="L58" s="17">
        <v>0.5</v>
      </c>
      <c r="M58">
        <v>0.1</v>
      </c>
      <c r="N58">
        <v>85</v>
      </c>
      <c r="O58">
        <f t="shared" si="0"/>
        <v>14.400000000000006</v>
      </c>
      <c r="P58">
        <f t="shared" si="1"/>
        <v>0.5841121495327104</v>
      </c>
      <c r="Q58">
        <f t="shared" si="2"/>
        <v>0.11682242990654207</v>
      </c>
      <c r="R58">
        <f t="shared" si="3"/>
        <v>99.299065420560751</v>
      </c>
      <c r="S58" s="4">
        <v>0.22902116984674242</v>
      </c>
      <c r="T58" s="4">
        <v>0.12353086091461098</v>
      </c>
      <c r="U58" s="4">
        <v>1.6327941592713593</v>
      </c>
      <c r="V58" s="4">
        <v>0.16701065069199184</v>
      </c>
      <c r="W58" s="4">
        <v>3.711575518015394E-3</v>
      </c>
      <c r="X58" s="4">
        <v>2.1560684162427202</v>
      </c>
      <c r="Y58" s="4">
        <v>16.743400726499452</v>
      </c>
      <c r="Z58">
        <v>75.249999999999986</v>
      </c>
      <c r="AA58">
        <v>0.15200000000000102</v>
      </c>
      <c r="AB58">
        <v>7.1094480823199735</v>
      </c>
      <c r="AC58" t="s">
        <v>85</v>
      </c>
      <c r="AD58" t="s">
        <v>85</v>
      </c>
    </row>
    <row r="59" spans="1:35" x14ac:dyDescent="0.35">
      <c r="A59" t="s">
        <v>9</v>
      </c>
      <c r="B59" s="19">
        <v>7</v>
      </c>
      <c r="C59" s="19" t="s">
        <v>125</v>
      </c>
      <c r="D59" s="19">
        <v>2</v>
      </c>
      <c r="E59" s="19" t="s">
        <v>125</v>
      </c>
      <c r="F59">
        <v>473</v>
      </c>
      <c r="G59" s="6">
        <v>3.6190000000000002</v>
      </c>
      <c r="H59" s="14" t="s">
        <v>62</v>
      </c>
      <c r="I59" s="4" t="s">
        <v>82</v>
      </c>
      <c r="J59" s="19">
        <v>7</v>
      </c>
      <c r="K59" s="19">
        <v>6</v>
      </c>
      <c r="L59" s="17">
        <v>0.5</v>
      </c>
      <c r="M59">
        <v>0.1</v>
      </c>
      <c r="N59">
        <v>85</v>
      </c>
      <c r="O59">
        <f t="shared" si="0"/>
        <v>14.400000000000006</v>
      </c>
      <c r="P59">
        <f t="shared" si="1"/>
        <v>0.5841121495327104</v>
      </c>
      <c r="Q59">
        <f t="shared" si="2"/>
        <v>0.11682242990654207</v>
      </c>
      <c r="R59">
        <f t="shared" si="3"/>
        <v>99.299065420560751</v>
      </c>
      <c r="AC59" t="s">
        <v>85</v>
      </c>
      <c r="AD59" t="s">
        <v>85</v>
      </c>
    </row>
    <row r="60" spans="1:35" x14ac:dyDescent="0.35">
      <c r="A60" t="s">
        <v>9</v>
      </c>
      <c r="B60" s="19">
        <v>8</v>
      </c>
      <c r="C60" s="19" t="s">
        <v>125</v>
      </c>
      <c r="D60" s="19">
        <v>2</v>
      </c>
      <c r="E60" s="19" t="s">
        <v>125</v>
      </c>
      <c r="F60">
        <v>484</v>
      </c>
      <c r="G60" s="6">
        <v>3.4</v>
      </c>
      <c r="H60" s="14" t="s">
        <v>62</v>
      </c>
      <c r="I60" s="4" t="s">
        <v>82</v>
      </c>
      <c r="J60" s="19">
        <v>8</v>
      </c>
      <c r="K60" s="19">
        <v>6</v>
      </c>
      <c r="L60" s="17">
        <v>0.5</v>
      </c>
      <c r="M60">
        <v>0.1</v>
      </c>
      <c r="N60">
        <v>85</v>
      </c>
      <c r="O60">
        <f t="shared" si="0"/>
        <v>14.400000000000006</v>
      </c>
      <c r="P60">
        <f t="shared" si="1"/>
        <v>0.5841121495327104</v>
      </c>
      <c r="Q60">
        <f t="shared" si="2"/>
        <v>0.11682242990654207</v>
      </c>
      <c r="R60">
        <f t="shared" si="3"/>
        <v>99.299065420560751</v>
      </c>
      <c r="AC60" t="s">
        <v>85</v>
      </c>
      <c r="AD60" t="s">
        <v>85</v>
      </c>
    </row>
    <row r="61" spans="1:35" x14ac:dyDescent="0.35">
      <c r="A61" t="s">
        <v>9</v>
      </c>
      <c r="B61" s="19">
        <v>9</v>
      </c>
      <c r="C61" s="19" t="s">
        <v>124</v>
      </c>
      <c r="D61" s="19">
        <v>1</v>
      </c>
      <c r="F61">
        <v>69</v>
      </c>
      <c r="G61">
        <v>1.927</v>
      </c>
      <c r="H61" s="14" t="s">
        <v>62</v>
      </c>
      <c r="I61" s="4" t="s">
        <v>82</v>
      </c>
      <c r="J61" s="19">
        <v>1</v>
      </c>
      <c r="K61" s="19">
        <v>6</v>
      </c>
      <c r="L61" s="17">
        <v>0.5</v>
      </c>
      <c r="M61">
        <v>0.1</v>
      </c>
      <c r="N61">
        <v>85</v>
      </c>
      <c r="O61">
        <f t="shared" si="0"/>
        <v>14.400000000000006</v>
      </c>
      <c r="P61">
        <f t="shared" si="1"/>
        <v>0.5841121495327104</v>
      </c>
      <c r="Q61">
        <f t="shared" si="2"/>
        <v>0.11682242990654207</v>
      </c>
      <c r="R61">
        <f t="shared" si="3"/>
        <v>99.299065420560751</v>
      </c>
      <c r="AC61" t="s">
        <v>87</v>
      </c>
      <c r="AD61" t="s">
        <v>87</v>
      </c>
    </row>
    <row r="62" spans="1:35" x14ac:dyDescent="0.35">
      <c r="A62" t="s">
        <v>9</v>
      </c>
      <c r="B62" s="19">
        <v>10</v>
      </c>
      <c r="C62" s="19" t="s">
        <v>124</v>
      </c>
      <c r="D62" s="19">
        <v>1</v>
      </c>
      <c r="F62">
        <v>68</v>
      </c>
      <c r="G62">
        <v>1.4710000000000001</v>
      </c>
      <c r="H62" s="14" t="s">
        <v>62</v>
      </c>
      <c r="I62" s="4" t="s">
        <v>82</v>
      </c>
      <c r="J62" s="19">
        <v>2</v>
      </c>
      <c r="K62" s="19">
        <v>6</v>
      </c>
      <c r="L62" s="17">
        <v>0.5</v>
      </c>
      <c r="M62">
        <v>0.1</v>
      </c>
      <c r="N62">
        <v>85</v>
      </c>
      <c r="O62">
        <f t="shared" si="0"/>
        <v>14.400000000000006</v>
      </c>
      <c r="P62">
        <f t="shared" si="1"/>
        <v>0.5841121495327104</v>
      </c>
      <c r="Q62">
        <f t="shared" si="2"/>
        <v>0.11682242990654207</v>
      </c>
      <c r="R62">
        <f t="shared" si="3"/>
        <v>99.299065420560751</v>
      </c>
      <c r="AC62" t="s">
        <v>87</v>
      </c>
      <c r="AD62" t="s">
        <v>87</v>
      </c>
      <c r="AH62" s="5"/>
      <c r="AI62" s="6"/>
    </row>
    <row r="63" spans="1:35" x14ac:dyDescent="0.35">
      <c r="A63" t="s">
        <v>65</v>
      </c>
      <c r="B63" s="19">
        <v>1</v>
      </c>
      <c r="C63" s="19" t="s">
        <v>125</v>
      </c>
      <c r="D63" s="19">
        <v>2</v>
      </c>
      <c r="E63" s="19" t="s">
        <v>125</v>
      </c>
      <c r="F63">
        <f>308+196</f>
        <v>504</v>
      </c>
      <c r="G63" s="6">
        <v>9.6479999999999997</v>
      </c>
      <c r="H63" s="14" t="s">
        <v>62</v>
      </c>
      <c r="I63" s="4" t="s">
        <v>82</v>
      </c>
      <c r="J63" s="19">
        <v>1</v>
      </c>
      <c r="K63" s="19">
        <v>6</v>
      </c>
      <c r="L63" s="17">
        <v>30.925000000000001</v>
      </c>
      <c r="M63">
        <v>5.0999999999999996</v>
      </c>
      <c r="N63">
        <v>15.2</v>
      </c>
      <c r="O63">
        <f t="shared" si="0"/>
        <v>48.775000000000006</v>
      </c>
      <c r="P63">
        <f t="shared" si="1"/>
        <v>60.370912640312355</v>
      </c>
      <c r="Q63">
        <f t="shared" si="2"/>
        <v>9.9560761346998543</v>
      </c>
      <c r="R63">
        <f t="shared" si="3"/>
        <v>29.6730112249878</v>
      </c>
      <c r="AC63" t="s">
        <v>85</v>
      </c>
      <c r="AD63" t="s">
        <v>85</v>
      </c>
      <c r="AH63" s="3"/>
      <c r="AI63" s="3"/>
    </row>
    <row r="64" spans="1:35" x14ac:dyDescent="0.35">
      <c r="A64" t="s">
        <v>65</v>
      </c>
      <c r="B64" s="19">
        <v>2</v>
      </c>
      <c r="C64" s="19" t="s">
        <v>125</v>
      </c>
      <c r="D64" s="19">
        <v>2</v>
      </c>
      <c r="E64" s="19" t="s">
        <v>125</v>
      </c>
      <c r="F64">
        <v>454</v>
      </c>
      <c r="G64" s="6">
        <v>10.978</v>
      </c>
      <c r="H64" s="14" t="s">
        <v>62</v>
      </c>
      <c r="I64" s="4" t="s">
        <v>82</v>
      </c>
      <c r="J64" s="19">
        <v>2</v>
      </c>
      <c r="K64" s="19">
        <v>6</v>
      </c>
      <c r="L64" s="17">
        <v>30.925000000000001</v>
      </c>
      <c r="M64">
        <v>5.0999999999999996</v>
      </c>
      <c r="N64">
        <v>15.2</v>
      </c>
      <c r="O64">
        <f t="shared" si="0"/>
        <v>48.775000000000006</v>
      </c>
      <c r="P64">
        <f t="shared" si="1"/>
        <v>60.370912640312355</v>
      </c>
      <c r="Q64">
        <f t="shared" si="2"/>
        <v>9.9560761346998543</v>
      </c>
      <c r="R64">
        <f t="shared" si="3"/>
        <v>29.6730112249878</v>
      </c>
      <c r="S64" s="4">
        <v>0.24832767799175035</v>
      </c>
      <c r="T64" s="4">
        <v>6.3535817898956654E-2</v>
      </c>
      <c r="U64" s="4">
        <v>1.3881808876119155</v>
      </c>
      <c r="V64" s="4">
        <v>0.1919674488596016</v>
      </c>
      <c r="W64" s="4">
        <v>5.6494289600219254E-3</v>
      </c>
      <c r="X64" s="4">
        <v>1.8976612613222461</v>
      </c>
      <c r="Y64" s="4">
        <v>21.904973029097658</v>
      </c>
      <c r="Z64">
        <v>72.375</v>
      </c>
      <c r="AA64">
        <v>0.12199999999999989</v>
      </c>
      <c r="AB64">
        <v>6.4687168610816439</v>
      </c>
      <c r="AC64" t="s">
        <v>85</v>
      </c>
      <c r="AD64" t="s">
        <v>85</v>
      </c>
      <c r="AE64" t="s">
        <v>85</v>
      </c>
    </row>
    <row r="65" spans="1:35" x14ac:dyDescent="0.35">
      <c r="A65" t="s">
        <v>65</v>
      </c>
      <c r="B65" s="19">
        <v>3</v>
      </c>
      <c r="C65" s="19" t="s">
        <v>125</v>
      </c>
      <c r="D65" s="19">
        <v>2</v>
      </c>
      <c r="E65" s="19" t="s">
        <v>125</v>
      </c>
      <c r="F65">
        <v>326</v>
      </c>
      <c r="G65" s="6">
        <v>12.805999999999999</v>
      </c>
      <c r="H65" s="14" t="s">
        <v>62</v>
      </c>
      <c r="I65" s="4" t="s">
        <v>82</v>
      </c>
      <c r="J65" s="19">
        <v>3</v>
      </c>
      <c r="K65" s="19">
        <v>6</v>
      </c>
      <c r="L65" s="17">
        <v>30.925000000000001</v>
      </c>
      <c r="M65">
        <v>5.0999999999999996</v>
      </c>
      <c r="N65">
        <v>15.2</v>
      </c>
      <c r="O65">
        <f t="shared" si="0"/>
        <v>48.775000000000006</v>
      </c>
      <c r="P65">
        <f t="shared" si="1"/>
        <v>60.370912640312355</v>
      </c>
      <c r="Q65">
        <f t="shared" si="2"/>
        <v>9.9560761346998543</v>
      </c>
      <c r="R65">
        <f t="shared" si="3"/>
        <v>29.6730112249878</v>
      </c>
      <c r="S65" s="4">
        <v>0.65721227830566209</v>
      </c>
      <c r="T65" s="4">
        <v>0.14922784652627291</v>
      </c>
      <c r="U65" s="4">
        <v>1.8754341557827849</v>
      </c>
      <c r="V65" s="4">
        <v>0.26879216443996568</v>
      </c>
      <c r="W65" s="4">
        <v>1.8905885775785326E-2</v>
      </c>
      <c r="X65" s="4">
        <v>2.9695723308304709</v>
      </c>
      <c r="Y65" s="4">
        <v>33.476292315855261</v>
      </c>
      <c r="Z65">
        <v>66.8125</v>
      </c>
      <c r="AA65">
        <v>0.13999999999999968</v>
      </c>
      <c r="AB65">
        <v>6.0449050086355651</v>
      </c>
      <c r="AC65" t="s">
        <v>85</v>
      </c>
      <c r="AD65" t="s">
        <v>85</v>
      </c>
      <c r="AE65" t="s">
        <v>85</v>
      </c>
    </row>
    <row r="66" spans="1:35" x14ac:dyDescent="0.35">
      <c r="A66" t="s">
        <v>65</v>
      </c>
      <c r="B66" s="19">
        <v>4</v>
      </c>
      <c r="C66" s="19" t="s">
        <v>125</v>
      </c>
      <c r="D66" s="19">
        <v>2</v>
      </c>
      <c r="E66" s="19" t="s">
        <v>125</v>
      </c>
      <c r="F66">
        <v>124</v>
      </c>
      <c r="G66" s="6">
        <v>7.3079999999999998</v>
      </c>
      <c r="H66" s="14" t="s">
        <v>62</v>
      </c>
      <c r="I66" s="4" t="s">
        <v>82</v>
      </c>
      <c r="J66" s="19">
        <v>4</v>
      </c>
      <c r="K66" s="19">
        <v>6</v>
      </c>
      <c r="L66" s="17">
        <v>30.925000000000001</v>
      </c>
      <c r="M66">
        <v>5.0999999999999996</v>
      </c>
      <c r="N66">
        <v>15.2</v>
      </c>
      <c r="O66">
        <f t="shared" ref="O66:O129" si="4">100-L66-M66-N66</f>
        <v>48.775000000000006</v>
      </c>
      <c r="P66">
        <f t="shared" ref="P66:P129" si="5">(L66/(SUM(L66:N66))*100)</f>
        <v>60.370912640312355</v>
      </c>
      <c r="Q66">
        <f t="shared" ref="Q66:Q129" si="6">(M66/(SUM(L66:N66))*100)</f>
        <v>9.9560761346998543</v>
      </c>
      <c r="R66">
        <f t="shared" ref="R66:R129" si="7">(N66/(SUM(L66:N66))*100)</f>
        <v>29.6730112249878</v>
      </c>
      <c r="AC66" t="s">
        <v>85</v>
      </c>
      <c r="AD66" t="s">
        <v>85</v>
      </c>
    </row>
    <row r="67" spans="1:35" x14ac:dyDescent="0.35">
      <c r="A67" t="s">
        <v>65</v>
      </c>
      <c r="B67" s="19">
        <v>5</v>
      </c>
      <c r="C67" s="19" t="s">
        <v>125</v>
      </c>
      <c r="D67" s="19">
        <v>2</v>
      </c>
      <c r="E67" s="19" t="s">
        <v>125</v>
      </c>
      <c r="F67">
        <v>289</v>
      </c>
      <c r="G67" s="6">
        <v>4.7359999999999998</v>
      </c>
      <c r="H67" s="14" t="s">
        <v>62</v>
      </c>
      <c r="I67" s="4" t="s">
        <v>82</v>
      </c>
      <c r="J67" s="19">
        <v>5</v>
      </c>
      <c r="K67" s="19">
        <v>6</v>
      </c>
      <c r="L67" s="17">
        <v>30.925000000000001</v>
      </c>
      <c r="M67">
        <v>5.0999999999999996</v>
      </c>
      <c r="N67">
        <v>15.2</v>
      </c>
      <c r="O67">
        <f t="shared" si="4"/>
        <v>48.775000000000006</v>
      </c>
      <c r="P67">
        <f t="shared" si="5"/>
        <v>60.370912640312355</v>
      </c>
      <c r="Q67">
        <f t="shared" si="6"/>
        <v>9.9560761346998543</v>
      </c>
      <c r="R67">
        <f t="shared" si="7"/>
        <v>29.6730112249878</v>
      </c>
      <c r="AC67" t="s">
        <v>85</v>
      </c>
      <c r="AD67" t="s">
        <v>85</v>
      </c>
    </row>
    <row r="68" spans="1:35" x14ac:dyDescent="0.35">
      <c r="A68" t="s">
        <v>65</v>
      </c>
      <c r="B68" s="19">
        <v>6</v>
      </c>
      <c r="C68" s="19" t="s">
        <v>125</v>
      </c>
      <c r="D68" s="19">
        <v>2</v>
      </c>
      <c r="E68" s="19" t="s">
        <v>125</v>
      </c>
      <c r="F68">
        <f>259+332</f>
        <v>591</v>
      </c>
      <c r="G68" s="6">
        <v>23.373999999999999</v>
      </c>
      <c r="H68" s="14" t="s">
        <v>62</v>
      </c>
      <c r="I68" s="4" t="s">
        <v>82</v>
      </c>
      <c r="J68" s="19">
        <v>6</v>
      </c>
      <c r="K68" s="19">
        <v>6</v>
      </c>
      <c r="L68" s="17">
        <v>30.925000000000001</v>
      </c>
      <c r="M68">
        <v>5.0999999999999996</v>
      </c>
      <c r="N68">
        <v>15.2</v>
      </c>
      <c r="O68">
        <f t="shared" si="4"/>
        <v>48.775000000000006</v>
      </c>
      <c r="P68">
        <f t="shared" si="5"/>
        <v>60.370912640312355</v>
      </c>
      <c r="Q68">
        <f t="shared" si="6"/>
        <v>9.9560761346998543</v>
      </c>
      <c r="R68">
        <f t="shared" si="7"/>
        <v>29.6730112249878</v>
      </c>
      <c r="S68" s="4">
        <v>0.63202874955730926</v>
      </c>
      <c r="T68" s="4">
        <v>9.3088151496070276E-2</v>
      </c>
      <c r="U68" s="4">
        <v>1.2924656515160993</v>
      </c>
      <c r="V68" s="4">
        <v>0.18325850972388447</v>
      </c>
      <c r="W68" s="4">
        <v>1.1548011379161994E-2</v>
      </c>
      <c r="X68" s="4">
        <v>2.2123890736725254</v>
      </c>
      <c r="Y68" s="4">
        <v>27.444540588386531</v>
      </c>
      <c r="Z68">
        <v>64.9375</v>
      </c>
      <c r="AA68">
        <v>0.15299999999999958</v>
      </c>
      <c r="AB68">
        <v>7.0474435743896651</v>
      </c>
      <c r="AC68" t="s">
        <v>85</v>
      </c>
      <c r="AD68" t="s">
        <v>85</v>
      </c>
    </row>
    <row r="69" spans="1:35" x14ac:dyDescent="0.35">
      <c r="A69" t="s">
        <v>65</v>
      </c>
      <c r="B69" s="19">
        <v>7</v>
      </c>
      <c r="C69" s="19" t="s">
        <v>125</v>
      </c>
      <c r="D69" s="19">
        <v>2</v>
      </c>
      <c r="E69" s="19" t="s">
        <v>125</v>
      </c>
      <c r="F69">
        <f>321+295</f>
        <v>616</v>
      </c>
      <c r="G69" s="6">
        <v>28.462</v>
      </c>
      <c r="H69" s="14" t="s">
        <v>62</v>
      </c>
      <c r="I69" s="4" t="s">
        <v>82</v>
      </c>
      <c r="J69" s="19">
        <v>7</v>
      </c>
      <c r="K69" s="19">
        <v>6</v>
      </c>
      <c r="L69" s="17">
        <v>30.925000000000001</v>
      </c>
      <c r="M69">
        <v>5.0999999999999996</v>
      </c>
      <c r="N69">
        <v>15.2</v>
      </c>
      <c r="O69">
        <f t="shared" si="4"/>
        <v>48.775000000000006</v>
      </c>
      <c r="P69">
        <f t="shared" si="5"/>
        <v>60.370912640312355</v>
      </c>
      <c r="Q69">
        <f t="shared" si="6"/>
        <v>9.9560761346998543</v>
      </c>
      <c r="R69">
        <f t="shared" si="7"/>
        <v>29.6730112249878</v>
      </c>
      <c r="S69" s="4">
        <v>0.53549026453575033</v>
      </c>
      <c r="T69" s="4">
        <v>9.5593330272307181E-2</v>
      </c>
      <c r="U69" s="4">
        <v>1.80554818177872</v>
      </c>
      <c r="V69" s="4">
        <v>0.25456807982720081</v>
      </c>
      <c r="W69" s="4">
        <v>2.1775249254809115E-2</v>
      </c>
      <c r="X69" s="4">
        <v>2.7129751056687872</v>
      </c>
      <c r="Y69" s="4">
        <v>36.210258689801307</v>
      </c>
      <c r="Z69">
        <v>62.812499999999993</v>
      </c>
      <c r="AA69">
        <v>0.24499999999999922</v>
      </c>
      <c r="AB69">
        <v>7.7556188667299564</v>
      </c>
      <c r="AC69" t="s">
        <v>85</v>
      </c>
      <c r="AD69" t="s">
        <v>85</v>
      </c>
    </row>
    <row r="70" spans="1:35" x14ac:dyDescent="0.35">
      <c r="A70" t="s">
        <v>65</v>
      </c>
      <c r="B70" s="19">
        <v>8</v>
      </c>
      <c r="C70" s="19" t="s">
        <v>125</v>
      </c>
      <c r="D70" s="19">
        <v>2</v>
      </c>
      <c r="E70" s="19" t="s">
        <v>125</v>
      </c>
      <c r="F70">
        <v>451</v>
      </c>
      <c r="G70" s="6">
        <v>20.457000000000001</v>
      </c>
      <c r="H70" s="14" t="s">
        <v>62</v>
      </c>
      <c r="I70" s="4" t="s">
        <v>82</v>
      </c>
      <c r="J70" s="19">
        <v>8</v>
      </c>
      <c r="K70" s="19">
        <v>6</v>
      </c>
      <c r="L70" s="17">
        <v>30.925000000000001</v>
      </c>
      <c r="M70">
        <v>5.0999999999999996</v>
      </c>
      <c r="N70">
        <v>15.2</v>
      </c>
      <c r="O70">
        <f t="shared" si="4"/>
        <v>48.775000000000006</v>
      </c>
      <c r="P70">
        <f t="shared" si="5"/>
        <v>60.370912640312355</v>
      </c>
      <c r="Q70">
        <f t="shared" si="6"/>
        <v>9.9560761346998543</v>
      </c>
      <c r="R70">
        <f t="shared" si="7"/>
        <v>29.6730112249878</v>
      </c>
      <c r="S70" s="4">
        <v>0.96770107015596263</v>
      </c>
      <c r="T70" s="4">
        <v>9.0015565593943622E-2</v>
      </c>
      <c r="U70" s="4">
        <v>1.5748747180408418</v>
      </c>
      <c r="V70" s="4">
        <v>0.18647838973339528</v>
      </c>
      <c r="W70" s="4">
        <v>2.5001431980400126E-3</v>
      </c>
      <c r="X70" s="4">
        <v>2.8215698867221835</v>
      </c>
      <c r="Y70" s="4">
        <v>50.162530583616508</v>
      </c>
      <c r="Z70">
        <v>59.875</v>
      </c>
      <c r="AA70">
        <v>0.18900000000000006</v>
      </c>
      <c r="AB70">
        <v>6.5105063727178791</v>
      </c>
      <c r="AC70" t="s">
        <v>85</v>
      </c>
      <c r="AD70" t="s">
        <v>85</v>
      </c>
    </row>
    <row r="71" spans="1:35" x14ac:dyDescent="0.35">
      <c r="A71" t="s">
        <v>65</v>
      </c>
      <c r="B71" s="19">
        <v>9</v>
      </c>
      <c r="C71" s="19" t="s">
        <v>124</v>
      </c>
      <c r="D71" s="19">
        <v>1</v>
      </c>
      <c r="F71">
        <v>239</v>
      </c>
      <c r="G71">
        <v>3.89</v>
      </c>
      <c r="H71" s="4" t="s">
        <v>62</v>
      </c>
      <c r="I71" s="4" t="s">
        <v>82</v>
      </c>
      <c r="J71" s="19">
        <v>1</v>
      </c>
      <c r="K71" s="19">
        <v>6</v>
      </c>
      <c r="L71" s="17">
        <v>30.925000000000001</v>
      </c>
      <c r="M71">
        <v>5.0999999999999996</v>
      </c>
      <c r="N71">
        <v>15.2</v>
      </c>
      <c r="O71">
        <f t="shared" si="4"/>
        <v>48.775000000000006</v>
      </c>
      <c r="P71">
        <f t="shared" si="5"/>
        <v>60.370912640312355</v>
      </c>
      <c r="Q71">
        <f t="shared" si="6"/>
        <v>9.9560761346998543</v>
      </c>
      <c r="R71">
        <f t="shared" si="7"/>
        <v>29.6730112249878</v>
      </c>
      <c r="AC71" t="s">
        <v>87</v>
      </c>
      <c r="AD71" t="s">
        <v>87</v>
      </c>
    </row>
    <row r="72" spans="1:35" x14ac:dyDescent="0.35">
      <c r="A72" t="s">
        <v>65</v>
      </c>
      <c r="B72" s="19">
        <v>10</v>
      </c>
      <c r="C72" s="19" t="s">
        <v>124</v>
      </c>
      <c r="D72" s="19">
        <v>1</v>
      </c>
      <c r="F72">
        <v>192</v>
      </c>
      <c r="G72">
        <v>3.5369999999999999</v>
      </c>
      <c r="H72" s="4" t="s">
        <v>62</v>
      </c>
      <c r="I72" s="4" t="s">
        <v>82</v>
      </c>
      <c r="J72" s="19">
        <v>2</v>
      </c>
      <c r="K72" s="19">
        <v>6</v>
      </c>
      <c r="L72" s="17">
        <v>30.925000000000001</v>
      </c>
      <c r="M72">
        <v>5.0999999999999996</v>
      </c>
      <c r="N72">
        <v>15.2</v>
      </c>
      <c r="O72">
        <f t="shared" si="4"/>
        <v>48.775000000000006</v>
      </c>
      <c r="P72">
        <f t="shared" si="5"/>
        <v>60.370912640312355</v>
      </c>
      <c r="Q72">
        <f t="shared" si="6"/>
        <v>9.9560761346998543</v>
      </c>
      <c r="R72">
        <f t="shared" si="7"/>
        <v>29.6730112249878</v>
      </c>
      <c r="AC72" t="s">
        <v>87</v>
      </c>
      <c r="AD72" t="s">
        <v>87</v>
      </c>
    </row>
    <row r="73" spans="1:35" x14ac:dyDescent="0.35">
      <c r="A73" t="s">
        <v>65</v>
      </c>
      <c r="B73" s="19">
        <v>11</v>
      </c>
      <c r="C73" s="19" t="s">
        <v>126</v>
      </c>
      <c r="D73" s="19">
        <v>3</v>
      </c>
      <c r="E73" s="19" t="s">
        <v>126</v>
      </c>
      <c r="F73">
        <v>5</v>
      </c>
      <c r="G73" s="2">
        <v>1.42</v>
      </c>
      <c r="H73" s="4" t="s">
        <v>63</v>
      </c>
      <c r="I73" s="4" t="s">
        <v>61</v>
      </c>
      <c r="J73" s="19">
        <v>1</v>
      </c>
      <c r="K73" s="19">
        <v>7</v>
      </c>
      <c r="L73" s="17">
        <v>30.925000000000001</v>
      </c>
      <c r="M73">
        <v>5.0999999999999996</v>
      </c>
      <c r="N73">
        <v>15.2</v>
      </c>
      <c r="O73">
        <f t="shared" si="4"/>
        <v>48.775000000000006</v>
      </c>
      <c r="P73">
        <f t="shared" si="5"/>
        <v>60.370912640312355</v>
      </c>
      <c r="Q73">
        <f t="shared" si="6"/>
        <v>9.9560761346998543</v>
      </c>
      <c r="R73">
        <f t="shared" si="7"/>
        <v>29.6730112249878</v>
      </c>
      <c r="AC73" t="s">
        <v>85</v>
      </c>
      <c r="AD73" t="s">
        <v>85</v>
      </c>
    </row>
    <row r="74" spans="1:35" x14ac:dyDescent="0.35">
      <c r="A74" t="s">
        <v>65</v>
      </c>
      <c r="B74" s="19">
        <v>12</v>
      </c>
      <c r="C74" s="19" t="s">
        <v>126</v>
      </c>
      <c r="D74" s="19">
        <v>3</v>
      </c>
      <c r="E74" s="19" t="s">
        <v>126</v>
      </c>
      <c r="F74">
        <v>294</v>
      </c>
      <c r="G74" s="2">
        <v>6.976</v>
      </c>
      <c r="H74" s="4" t="s">
        <v>63</v>
      </c>
      <c r="I74" s="4" t="s">
        <v>61</v>
      </c>
      <c r="J74" s="19">
        <v>2</v>
      </c>
      <c r="K74" s="19">
        <v>7</v>
      </c>
      <c r="L74" s="17">
        <v>30.925000000000001</v>
      </c>
      <c r="M74">
        <v>5.0999999999999996</v>
      </c>
      <c r="N74">
        <v>15.2</v>
      </c>
      <c r="O74">
        <f t="shared" si="4"/>
        <v>48.775000000000006</v>
      </c>
      <c r="P74">
        <f t="shared" si="5"/>
        <v>60.370912640312355</v>
      </c>
      <c r="Q74">
        <f t="shared" si="6"/>
        <v>9.9560761346998543</v>
      </c>
      <c r="R74">
        <f t="shared" si="7"/>
        <v>29.6730112249878</v>
      </c>
      <c r="AC74" t="s">
        <v>85</v>
      </c>
      <c r="AD74" t="s">
        <v>85</v>
      </c>
    </row>
    <row r="75" spans="1:35" x14ac:dyDescent="0.35">
      <c r="A75" t="s">
        <v>65</v>
      </c>
      <c r="B75" s="19">
        <v>13</v>
      </c>
      <c r="C75" s="19" t="s">
        <v>126</v>
      </c>
      <c r="D75" s="19">
        <v>3</v>
      </c>
      <c r="E75" s="19" t="s">
        <v>126</v>
      </c>
      <c r="F75">
        <v>394</v>
      </c>
      <c r="G75" s="2">
        <v>7.6539999999999999</v>
      </c>
      <c r="H75" s="4" t="s">
        <v>63</v>
      </c>
      <c r="I75" s="4" t="s">
        <v>61</v>
      </c>
      <c r="J75" s="19">
        <v>3</v>
      </c>
      <c r="K75" s="19">
        <v>7</v>
      </c>
      <c r="L75" s="17">
        <v>30.925000000000001</v>
      </c>
      <c r="M75">
        <v>5.0999999999999996</v>
      </c>
      <c r="N75">
        <v>15.2</v>
      </c>
      <c r="O75">
        <f t="shared" si="4"/>
        <v>48.775000000000006</v>
      </c>
      <c r="P75">
        <f t="shared" si="5"/>
        <v>60.370912640312355</v>
      </c>
      <c r="Q75">
        <f t="shared" si="6"/>
        <v>9.9560761346998543</v>
      </c>
      <c r="R75">
        <f t="shared" si="7"/>
        <v>29.6730112249878</v>
      </c>
      <c r="AC75" t="s">
        <v>85</v>
      </c>
      <c r="AD75" t="s">
        <v>85</v>
      </c>
    </row>
    <row r="76" spans="1:35" x14ac:dyDescent="0.35">
      <c r="A76" t="s">
        <v>65</v>
      </c>
      <c r="B76" s="19">
        <v>14</v>
      </c>
      <c r="C76" s="19" t="s">
        <v>126</v>
      </c>
      <c r="D76" s="19">
        <v>3</v>
      </c>
      <c r="E76" s="19" t="s">
        <v>126</v>
      </c>
      <c r="F76">
        <v>289</v>
      </c>
      <c r="G76" s="2">
        <v>7.8630000000000004</v>
      </c>
      <c r="H76" s="4" t="s">
        <v>63</v>
      </c>
      <c r="I76" s="4" t="s">
        <v>61</v>
      </c>
      <c r="J76" s="19">
        <v>4</v>
      </c>
      <c r="K76" s="19">
        <v>7</v>
      </c>
      <c r="L76" s="17">
        <v>30.925000000000001</v>
      </c>
      <c r="M76">
        <v>5.0999999999999996</v>
      </c>
      <c r="N76">
        <v>15.2</v>
      </c>
      <c r="O76">
        <f t="shared" si="4"/>
        <v>48.775000000000006</v>
      </c>
      <c r="P76">
        <f t="shared" si="5"/>
        <v>60.370912640312355</v>
      </c>
      <c r="Q76">
        <f t="shared" si="6"/>
        <v>9.9560761346998543</v>
      </c>
      <c r="R76">
        <f t="shared" si="7"/>
        <v>29.6730112249878</v>
      </c>
      <c r="AC76" t="s">
        <v>85</v>
      </c>
      <c r="AD76" t="s">
        <v>85</v>
      </c>
    </row>
    <row r="77" spans="1:35" x14ac:dyDescent="0.35">
      <c r="A77" t="s">
        <v>65</v>
      </c>
      <c r="B77" s="19">
        <v>15</v>
      </c>
      <c r="C77" s="19" t="s">
        <v>126</v>
      </c>
      <c r="D77" s="19">
        <v>3</v>
      </c>
      <c r="E77" s="19" t="s">
        <v>126</v>
      </c>
      <c r="F77">
        <v>336</v>
      </c>
      <c r="G77" s="2">
        <v>10.539</v>
      </c>
      <c r="H77" s="4" t="s">
        <v>63</v>
      </c>
      <c r="I77" s="4" t="s">
        <v>61</v>
      </c>
      <c r="J77" s="19">
        <v>5</v>
      </c>
      <c r="K77" s="19">
        <v>7</v>
      </c>
      <c r="L77" s="17">
        <v>30.925000000000001</v>
      </c>
      <c r="M77">
        <v>5.0999999999999996</v>
      </c>
      <c r="N77">
        <v>15.2</v>
      </c>
      <c r="O77">
        <f t="shared" si="4"/>
        <v>48.775000000000006</v>
      </c>
      <c r="P77">
        <f t="shared" si="5"/>
        <v>60.370912640312355</v>
      </c>
      <c r="Q77">
        <f t="shared" si="6"/>
        <v>9.9560761346998543</v>
      </c>
      <c r="R77">
        <f t="shared" si="7"/>
        <v>29.6730112249878</v>
      </c>
      <c r="AC77" t="s">
        <v>85</v>
      </c>
      <c r="AD77" t="s">
        <v>85</v>
      </c>
      <c r="AH77" s="5"/>
      <c r="AI77" s="6"/>
    </row>
    <row r="78" spans="1:35" x14ac:dyDescent="0.35">
      <c r="A78" t="s">
        <v>5</v>
      </c>
      <c r="B78" s="21">
        <v>1</v>
      </c>
      <c r="C78" s="21" t="s">
        <v>127</v>
      </c>
      <c r="D78" s="21">
        <v>4</v>
      </c>
      <c r="E78" s="19" t="s">
        <v>127</v>
      </c>
      <c r="F78">
        <v>79</v>
      </c>
      <c r="G78" s="2">
        <v>1.3129999999999999</v>
      </c>
      <c r="H78" s="14" t="s">
        <v>66</v>
      </c>
      <c r="I78" s="4" t="s">
        <v>19</v>
      </c>
      <c r="J78" s="19">
        <v>1</v>
      </c>
      <c r="K78" s="19">
        <v>7</v>
      </c>
      <c r="L78" s="17">
        <v>14.3</v>
      </c>
      <c r="M78">
        <v>23.3</v>
      </c>
      <c r="N78">
        <v>12.1</v>
      </c>
      <c r="O78">
        <f t="shared" si="4"/>
        <v>50.300000000000004</v>
      </c>
      <c r="P78">
        <f t="shared" si="5"/>
        <v>28.772635814889334</v>
      </c>
      <c r="Q78">
        <f t="shared" si="6"/>
        <v>46.881287726358146</v>
      </c>
      <c r="R78">
        <f t="shared" si="7"/>
        <v>24.346076458752513</v>
      </c>
      <c r="S78" s="4">
        <v>1.1074713717933564</v>
      </c>
      <c r="T78" s="4">
        <v>0.16421956462570686</v>
      </c>
      <c r="U78" s="4">
        <v>2.9736248061027375</v>
      </c>
      <c r="V78" s="4">
        <v>0.43824295860615725</v>
      </c>
      <c r="W78" s="4">
        <v>1.6829898863811874</v>
      </c>
      <c r="X78" s="4">
        <v>6.3665485875091443</v>
      </c>
      <c r="Y78" s="4">
        <v>64.47272718171952</v>
      </c>
      <c r="AC78" t="s">
        <v>85</v>
      </c>
      <c r="AD78" t="s">
        <v>85</v>
      </c>
      <c r="AH78" s="3"/>
      <c r="AI78" s="3"/>
    </row>
    <row r="79" spans="1:35" x14ac:dyDescent="0.35">
      <c r="A79" t="s">
        <v>5</v>
      </c>
      <c r="B79" s="21">
        <v>2</v>
      </c>
      <c r="C79" s="21" t="s">
        <v>127</v>
      </c>
      <c r="D79" s="21">
        <v>4</v>
      </c>
      <c r="E79" s="19" t="s">
        <v>127</v>
      </c>
      <c r="F79">
        <v>39</v>
      </c>
      <c r="G79" s="2">
        <v>0.95</v>
      </c>
      <c r="H79" s="14" t="s">
        <v>66</v>
      </c>
      <c r="I79" s="4" t="s">
        <v>19</v>
      </c>
      <c r="J79" s="19">
        <v>2</v>
      </c>
      <c r="K79" s="19">
        <v>7</v>
      </c>
      <c r="L79" s="17">
        <v>14.3</v>
      </c>
      <c r="M79">
        <v>23.3</v>
      </c>
      <c r="N79">
        <v>12.1</v>
      </c>
      <c r="O79">
        <f t="shared" si="4"/>
        <v>50.300000000000004</v>
      </c>
      <c r="P79">
        <f t="shared" si="5"/>
        <v>28.772635814889334</v>
      </c>
      <c r="Q79">
        <f t="shared" si="6"/>
        <v>46.881287726358146</v>
      </c>
      <c r="R79">
        <f t="shared" si="7"/>
        <v>24.346076458752513</v>
      </c>
      <c r="S79" s="4">
        <v>1.1053994118685413</v>
      </c>
      <c r="T79" s="4">
        <v>8.9443595511301849E-2</v>
      </c>
      <c r="U79" s="4">
        <v>2.0642728787971607</v>
      </c>
      <c r="V79" s="4">
        <v>0.31307476749148205</v>
      </c>
      <c r="W79" s="4">
        <v>1.7521255504938398</v>
      </c>
      <c r="X79" s="4">
        <v>5.3243162041623258</v>
      </c>
      <c r="Y79" s="4">
        <v>65.88601775738077</v>
      </c>
      <c r="AC79" t="s">
        <v>85</v>
      </c>
      <c r="AD79" t="s">
        <v>85</v>
      </c>
    </row>
    <row r="80" spans="1:35" x14ac:dyDescent="0.35">
      <c r="A80" t="s">
        <v>5</v>
      </c>
      <c r="B80" s="21">
        <v>3</v>
      </c>
      <c r="C80" s="21" t="s">
        <v>127</v>
      </c>
      <c r="D80" s="21">
        <v>4</v>
      </c>
      <c r="E80" s="19" t="s">
        <v>127</v>
      </c>
      <c r="F80">
        <v>61</v>
      </c>
      <c r="G80" s="2">
        <v>1.7270000000000001</v>
      </c>
      <c r="H80" s="14" t="s">
        <v>66</v>
      </c>
      <c r="I80" s="4" t="s">
        <v>19</v>
      </c>
      <c r="J80" s="19">
        <v>3</v>
      </c>
      <c r="K80" s="19">
        <v>7</v>
      </c>
      <c r="L80" s="17">
        <v>14.3</v>
      </c>
      <c r="M80">
        <v>23.3</v>
      </c>
      <c r="N80">
        <v>12.1</v>
      </c>
      <c r="O80">
        <f t="shared" si="4"/>
        <v>50.300000000000004</v>
      </c>
      <c r="P80">
        <f t="shared" si="5"/>
        <v>28.772635814889334</v>
      </c>
      <c r="Q80">
        <f t="shared" si="6"/>
        <v>46.881287726358146</v>
      </c>
      <c r="R80">
        <f t="shared" si="7"/>
        <v>24.346076458752513</v>
      </c>
      <c r="S80" s="4">
        <v>1.2691612012947779</v>
      </c>
      <c r="T80" s="4">
        <v>0.12269447152468238</v>
      </c>
      <c r="U80" s="4">
        <v>2.4829262312682139</v>
      </c>
      <c r="V80" s="4">
        <v>0.34698324019646937</v>
      </c>
      <c r="W80" s="4">
        <v>1.4335719573227392</v>
      </c>
      <c r="X80" s="4">
        <v>5.6553371016068823</v>
      </c>
      <c r="Y80" s="4">
        <v>66.348499610299783</v>
      </c>
      <c r="AC80" t="s">
        <v>85</v>
      </c>
      <c r="AD80" t="s">
        <v>85</v>
      </c>
    </row>
    <row r="81" spans="1:31" x14ac:dyDescent="0.35">
      <c r="A81" t="s">
        <v>5</v>
      </c>
      <c r="B81" s="21">
        <v>4</v>
      </c>
      <c r="C81" s="21" t="s">
        <v>127</v>
      </c>
      <c r="D81" s="21">
        <v>4</v>
      </c>
      <c r="E81" s="19" t="s">
        <v>127</v>
      </c>
      <c r="F81">
        <v>128</v>
      </c>
      <c r="G81" s="2">
        <v>1.881</v>
      </c>
      <c r="H81" s="14" t="s">
        <v>66</v>
      </c>
      <c r="I81" s="4" t="s">
        <v>19</v>
      </c>
      <c r="J81" s="19">
        <v>4</v>
      </c>
      <c r="K81" s="19">
        <v>7</v>
      </c>
      <c r="L81" s="17">
        <v>14.3</v>
      </c>
      <c r="M81">
        <v>23.3</v>
      </c>
      <c r="N81">
        <v>12.1</v>
      </c>
      <c r="O81">
        <f t="shared" si="4"/>
        <v>50.300000000000004</v>
      </c>
      <c r="P81">
        <f t="shared" si="5"/>
        <v>28.772635814889334</v>
      </c>
      <c r="Q81">
        <f t="shared" si="6"/>
        <v>46.881287726358146</v>
      </c>
      <c r="R81">
        <f t="shared" si="7"/>
        <v>24.346076458752513</v>
      </c>
      <c r="AC81" t="s">
        <v>85</v>
      </c>
      <c r="AD81" t="s">
        <v>85</v>
      </c>
    </row>
    <row r="82" spans="1:31" x14ac:dyDescent="0.35">
      <c r="A82" t="s">
        <v>5</v>
      </c>
      <c r="B82" s="21">
        <v>5</v>
      </c>
      <c r="C82" s="21" t="s">
        <v>127</v>
      </c>
      <c r="D82" s="21">
        <v>4</v>
      </c>
      <c r="E82" s="19" t="s">
        <v>127</v>
      </c>
      <c r="F82">
        <v>52</v>
      </c>
      <c r="G82" s="2">
        <v>2.7330000000000001</v>
      </c>
      <c r="H82" s="14" t="s">
        <v>66</v>
      </c>
      <c r="I82" s="4" t="s">
        <v>19</v>
      </c>
      <c r="J82" s="19">
        <v>5</v>
      </c>
      <c r="K82" s="19">
        <v>7</v>
      </c>
      <c r="L82" s="17">
        <v>14.3</v>
      </c>
      <c r="M82">
        <v>23.3</v>
      </c>
      <c r="N82">
        <v>12.1</v>
      </c>
      <c r="O82">
        <f t="shared" si="4"/>
        <v>50.300000000000004</v>
      </c>
      <c r="P82">
        <f t="shared" si="5"/>
        <v>28.772635814889334</v>
      </c>
      <c r="Q82">
        <f t="shared" si="6"/>
        <v>46.881287726358146</v>
      </c>
      <c r="R82">
        <f t="shared" si="7"/>
        <v>24.346076458752513</v>
      </c>
      <c r="AC82" t="s">
        <v>85</v>
      </c>
      <c r="AD82" t="s">
        <v>85</v>
      </c>
    </row>
    <row r="83" spans="1:31" x14ac:dyDescent="0.35">
      <c r="A83" t="s">
        <v>6</v>
      </c>
      <c r="B83" s="19">
        <v>1</v>
      </c>
      <c r="C83" s="21" t="s">
        <v>127</v>
      </c>
      <c r="D83" s="21">
        <v>4</v>
      </c>
      <c r="E83" s="19" t="s">
        <v>127</v>
      </c>
      <c r="F83">
        <v>39</v>
      </c>
      <c r="G83" s="2">
        <v>3.077</v>
      </c>
      <c r="H83" s="14" t="s">
        <v>66</v>
      </c>
      <c r="I83" s="4" t="s">
        <v>20</v>
      </c>
      <c r="J83" s="19">
        <v>1</v>
      </c>
      <c r="K83" s="19">
        <v>7</v>
      </c>
      <c r="L83" s="17">
        <v>86</v>
      </c>
      <c r="M83">
        <v>0.3</v>
      </c>
      <c r="N83">
        <v>8.1</v>
      </c>
      <c r="O83">
        <f t="shared" si="4"/>
        <v>5.6</v>
      </c>
      <c r="P83">
        <f t="shared" si="5"/>
        <v>91.101694915254257</v>
      </c>
      <c r="Q83">
        <f t="shared" si="6"/>
        <v>0.31779661016949157</v>
      </c>
      <c r="R83">
        <f t="shared" si="7"/>
        <v>8.5805084745762716</v>
      </c>
      <c r="S83" s="4">
        <v>0.43700724197219037</v>
      </c>
      <c r="T83" s="4">
        <v>0.13494714448440445</v>
      </c>
      <c r="U83" s="4">
        <v>3.8080898655808015</v>
      </c>
      <c r="V83" s="4">
        <v>0.88018177985110946</v>
      </c>
      <c r="W83" s="4">
        <v>5.447993391802964E-2</v>
      </c>
      <c r="X83" s="4">
        <v>5.3147059658065352</v>
      </c>
      <c r="Y83" s="4">
        <v>47.789401222589696</v>
      </c>
      <c r="AC83" t="s">
        <v>85</v>
      </c>
      <c r="AD83" t="s">
        <v>85</v>
      </c>
    </row>
    <row r="84" spans="1:31" x14ac:dyDescent="0.35">
      <c r="A84" t="s">
        <v>6</v>
      </c>
      <c r="B84" s="19">
        <v>2</v>
      </c>
      <c r="C84" s="21" t="s">
        <v>127</v>
      </c>
      <c r="D84" s="21">
        <v>4</v>
      </c>
      <c r="E84" s="19" t="s">
        <v>127</v>
      </c>
      <c r="F84">
        <v>39</v>
      </c>
      <c r="G84" s="2">
        <v>5.0110000000000001</v>
      </c>
      <c r="H84" s="14" t="s">
        <v>66</v>
      </c>
      <c r="I84" s="4" t="s">
        <v>20</v>
      </c>
      <c r="J84" s="19">
        <v>2</v>
      </c>
      <c r="K84" s="19">
        <v>7</v>
      </c>
      <c r="L84" s="17">
        <v>86</v>
      </c>
      <c r="M84">
        <v>0.3</v>
      </c>
      <c r="N84">
        <v>8.1</v>
      </c>
      <c r="O84">
        <f t="shared" si="4"/>
        <v>5.6</v>
      </c>
      <c r="P84">
        <f t="shared" si="5"/>
        <v>91.101694915254257</v>
      </c>
      <c r="Q84">
        <f t="shared" si="6"/>
        <v>0.31779661016949157</v>
      </c>
      <c r="R84">
        <f t="shared" si="7"/>
        <v>8.5805084745762716</v>
      </c>
      <c r="S84" s="4">
        <v>0.46159707895338192</v>
      </c>
      <c r="T84" s="4">
        <v>0.11259595727385048</v>
      </c>
      <c r="U84" s="4">
        <v>3.1837469863722894</v>
      </c>
      <c r="V84" s="4">
        <v>0.67585732819677813</v>
      </c>
      <c r="W84" s="4">
        <v>8.7154902586264224E-2</v>
      </c>
      <c r="X84" s="4">
        <v>4.5209522533825641</v>
      </c>
      <c r="Y84" s="4">
        <v>49.540345812202915</v>
      </c>
      <c r="AC84" t="s">
        <v>85</v>
      </c>
      <c r="AD84" t="s">
        <v>85</v>
      </c>
    </row>
    <row r="85" spans="1:31" x14ac:dyDescent="0.35">
      <c r="A85" t="s">
        <v>6</v>
      </c>
      <c r="B85" s="19">
        <v>3</v>
      </c>
      <c r="C85" s="21" t="s">
        <v>127</v>
      </c>
      <c r="D85" s="21">
        <v>4</v>
      </c>
      <c r="E85" s="19" t="s">
        <v>127</v>
      </c>
      <c r="F85">
        <v>41</v>
      </c>
      <c r="G85" s="2">
        <v>3.677</v>
      </c>
      <c r="H85" s="14" t="s">
        <v>66</v>
      </c>
      <c r="I85" s="4" t="s">
        <v>20</v>
      </c>
      <c r="J85" s="19">
        <v>3</v>
      </c>
      <c r="K85" s="19">
        <v>7</v>
      </c>
      <c r="L85" s="17">
        <v>86</v>
      </c>
      <c r="M85">
        <v>0.3</v>
      </c>
      <c r="N85">
        <v>8.1</v>
      </c>
      <c r="O85">
        <f t="shared" si="4"/>
        <v>5.6</v>
      </c>
      <c r="P85">
        <f t="shared" si="5"/>
        <v>91.101694915254257</v>
      </c>
      <c r="Q85">
        <f t="shared" si="6"/>
        <v>0.31779661016949157</v>
      </c>
      <c r="R85">
        <f t="shared" si="7"/>
        <v>8.5805084745762716</v>
      </c>
      <c r="S85" s="4">
        <v>0.44798858403807984</v>
      </c>
      <c r="T85" s="4">
        <v>0.12139165932090634</v>
      </c>
      <c r="U85" s="4">
        <v>2.5424273274357665</v>
      </c>
      <c r="V85" s="4">
        <v>0.63551778587352525</v>
      </c>
      <c r="W85" s="4">
        <v>5.192166451873001E-2</v>
      </c>
      <c r="X85" s="4">
        <v>3.799247021187008</v>
      </c>
      <c r="Y85" s="4">
        <v>40.672284267517881</v>
      </c>
      <c r="AC85" t="s">
        <v>85</v>
      </c>
      <c r="AD85" t="s">
        <v>85</v>
      </c>
    </row>
    <row r="86" spans="1:31" x14ac:dyDescent="0.35">
      <c r="A86" t="s">
        <v>6</v>
      </c>
      <c r="B86" s="19">
        <v>4</v>
      </c>
      <c r="C86" s="21" t="s">
        <v>127</v>
      </c>
      <c r="D86" s="21">
        <v>4</v>
      </c>
      <c r="E86" s="19" t="s">
        <v>127</v>
      </c>
      <c r="F86">
        <v>11</v>
      </c>
      <c r="G86" s="2">
        <v>0.48199999999999998</v>
      </c>
      <c r="H86" s="14" t="s">
        <v>66</v>
      </c>
      <c r="I86" s="4" t="s">
        <v>20</v>
      </c>
      <c r="J86" s="19">
        <v>4</v>
      </c>
      <c r="K86" s="19">
        <v>7</v>
      </c>
      <c r="L86" s="17">
        <v>86</v>
      </c>
      <c r="M86">
        <v>0.3</v>
      </c>
      <c r="N86">
        <v>8.1</v>
      </c>
      <c r="O86">
        <f t="shared" si="4"/>
        <v>5.6</v>
      </c>
      <c r="P86">
        <f t="shared" si="5"/>
        <v>91.101694915254257</v>
      </c>
      <c r="Q86">
        <f t="shared" si="6"/>
        <v>0.31779661016949157</v>
      </c>
      <c r="R86">
        <f t="shared" si="7"/>
        <v>8.5805084745762716</v>
      </c>
      <c r="AC86" t="s">
        <v>85</v>
      </c>
      <c r="AD86" t="s">
        <v>85</v>
      </c>
    </row>
    <row r="87" spans="1:31" x14ac:dyDescent="0.35">
      <c r="A87" t="s">
        <v>6</v>
      </c>
      <c r="B87" s="19">
        <v>5</v>
      </c>
      <c r="C87" s="21" t="s">
        <v>127</v>
      </c>
      <c r="D87" s="21">
        <v>4</v>
      </c>
      <c r="E87" s="19" t="s">
        <v>127</v>
      </c>
      <c r="F87">
        <v>95</v>
      </c>
      <c r="G87" s="2">
        <v>2.665</v>
      </c>
      <c r="H87" s="14" t="s">
        <v>66</v>
      </c>
      <c r="I87" s="4" t="s">
        <v>20</v>
      </c>
      <c r="J87" s="19">
        <v>5</v>
      </c>
      <c r="K87" s="19">
        <v>7</v>
      </c>
      <c r="L87" s="17">
        <v>86</v>
      </c>
      <c r="M87">
        <v>0.3</v>
      </c>
      <c r="N87">
        <v>8.1</v>
      </c>
      <c r="O87">
        <f t="shared" si="4"/>
        <v>5.6</v>
      </c>
      <c r="P87">
        <f t="shared" si="5"/>
        <v>91.101694915254257</v>
      </c>
      <c r="Q87">
        <f t="shared" si="6"/>
        <v>0.31779661016949157</v>
      </c>
      <c r="R87">
        <f t="shared" si="7"/>
        <v>8.5805084745762716</v>
      </c>
      <c r="AC87" t="s">
        <v>85</v>
      </c>
      <c r="AD87" t="s">
        <v>85</v>
      </c>
    </row>
    <row r="88" spans="1:31" x14ac:dyDescent="0.35">
      <c r="A88" t="s">
        <v>14</v>
      </c>
      <c r="B88" s="19">
        <v>1</v>
      </c>
      <c r="C88" s="19" t="s">
        <v>125</v>
      </c>
      <c r="D88" s="19">
        <v>2</v>
      </c>
      <c r="E88" s="19" t="s">
        <v>125</v>
      </c>
      <c r="F88">
        <v>241</v>
      </c>
      <c r="G88" s="2">
        <v>23.704999999999998</v>
      </c>
      <c r="H88" s="4" t="s">
        <v>62</v>
      </c>
      <c r="I88" s="4" t="s">
        <v>82</v>
      </c>
      <c r="J88" s="21">
        <v>1</v>
      </c>
      <c r="K88" s="21">
        <v>6</v>
      </c>
      <c r="L88">
        <v>11.520000000000001</v>
      </c>
      <c r="M88">
        <v>24.000000000000004</v>
      </c>
      <c r="N88">
        <v>45.6</v>
      </c>
      <c r="O88">
        <f t="shared" si="4"/>
        <v>18.880000000000003</v>
      </c>
      <c r="P88">
        <f t="shared" si="5"/>
        <v>14.201183431952662</v>
      </c>
      <c r="Q88">
        <f t="shared" si="6"/>
        <v>29.585798816568047</v>
      </c>
      <c r="R88">
        <f t="shared" si="7"/>
        <v>56.213017751479285</v>
      </c>
      <c r="S88" s="14">
        <v>15.921653399365756</v>
      </c>
      <c r="T88" s="14">
        <v>0.20910668800754406</v>
      </c>
      <c r="U88" s="14">
        <v>5.0585141029643292</v>
      </c>
      <c r="V88" s="14">
        <v>0.11295545268701215</v>
      </c>
      <c r="W88" s="14">
        <v>0.2290919351377472</v>
      </c>
      <c r="X88" s="14">
        <v>21.531321578162387</v>
      </c>
      <c r="Y88" s="4">
        <v>146.64487845109483</v>
      </c>
      <c r="Z88">
        <v>43.4375</v>
      </c>
      <c r="AA88">
        <v>0.10200000000000031</v>
      </c>
      <c r="AB88">
        <v>5.1881993896236187</v>
      </c>
      <c r="AC88" t="s">
        <v>85</v>
      </c>
      <c r="AD88" t="s">
        <v>85</v>
      </c>
    </row>
    <row r="89" spans="1:31" x14ac:dyDescent="0.35">
      <c r="A89" t="s">
        <v>14</v>
      </c>
      <c r="B89" s="19">
        <v>2</v>
      </c>
      <c r="C89" s="19" t="s">
        <v>125</v>
      </c>
      <c r="D89" s="19">
        <v>2</v>
      </c>
      <c r="E89" s="19" t="s">
        <v>125</v>
      </c>
      <c r="F89">
        <v>236</v>
      </c>
      <c r="G89" s="2">
        <v>8.5250000000000004</v>
      </c>
      <c r="H89" s="4" t="s">
        <v>62</v>
      </c>
      <c r="I89" s="4" t="s">
        <v>82</v>
      </c>
      <c r="J89" s="21">
        <v>2</v>
      </c>
      <c r="K89" s="21">
        <v>6</v>
      </c>
      <c r="L89">
        <v>11.520000000000001</v>
      </c>
      <c r="M89">
        <v>24.000000000000004</v>
      </c>
      <c r="N89">
        <v>45.6</v>
      </c>
      <c r="O89">
        <f t="shared" si="4"/>
        <v>18.880000000000003</v>
      </c>
      <c r="P89">
        <f t="shared" si="5"/>
        <v>14.201183431952662</v>
      </c>
      <c r="Q89">
        <f t="shared" si="6"/>
        <v>29.585798816568047</v>
      </c>
      <c r="R89">
        <f t="shared" si="7"/>
        <v>56.213017751479285</v>
      </c>
      <c r="S89" s="14">
        <v>17.485947080367612</v>
      </c>
      <c r="T89" s="14">
        <v>0.21630606128136526</v>
      </c>
      <c r="U89" s="14">
        <v>2.6050117727457072</v>
      </c>
      <c r="V89" s="14">
        <v>0.14602435146371628</v>
      </c>
      <c r="W89" s="14">
        <v>1.9587270542890577E-2</v>
      </c>
      <c r="X89" s="14">
        <v>20.472876536401291</v>
      </c>
      <c r="Y89" s="4">
        <v>161.98748230899292</v>
      </c>
      <c r="Z89">
        <v>48.062500000000007</v>
      </c>
      <c r="AA89">
        <v>0.12799999999999923</v>
      </c>
      <c r="AB89">
        <v>6.776071995764914</v>
      </c>
      <c r="AC89" t="s">
        <v>85</v>
      </c>
      <c r="AD89" t="s">
        <v>85</v>
      </c>
      <c r="AE89" t="s">
        <v>85</v>
      </c>
    </row>
    <row r="90" spans="1:31" x14ac:dyDescent="0.35">
      <c r="A90" t="s">
        <v>14</v>
      </c>
      <c r="B90" s="19">
        <v>3</v>
      </c>
      <c r="C90" s="19" t="s">
        <v>125</v>
      </c>
      <c r="D90" s="19">
        <v>2</v>
      </c>
      <c r="E90" s="19" t="s">
        <v>125</v>
      </c>
      <c r="F90">
        <f>183+107</f>
        <v>290</v>
      </c>
      <c r="G90" s="2">
        <v>4.96</v>
      </c>
      <c r="H90" s="4" t="s">
        <v>62</v>
      </c>
      <c r="I90" s="4" t="s">
        <v>82</v>
      </c>
      <c r="J90" s="21">
        <v>3</v>
      </c>
      <c r="K90" s="21">
        <v>6</v>
      </c>
      <c r="L90">
        <v>11.520000000000001</v>
      </c>
      <c r="M90">
        <v>24.000000000000004</v>
      </c>
      <c r="N90">
        <v>45.6</v>
      </c>
      <c r="O90">
        <f t="shared" si="4"/>
        <v>18.880000000000003</v>
      </c>
      <c r="P90">
        <f t="shared" si="5"/>
        <v>14.201183431952662</v>
      </c>
      <c r="Q90">
        <f t="shared" si="6"/>
        <v>29.585798816568047</v>
      </c>
      <c r="R90">
        <f t="shared" si="7"/>
        <v>56.213017751479285</v>
      </c>
      <c r="AC90" t="s">
        <v>85</v>
      </c>
      <c r="AD90" t="s">
        <v>85</v>
      </c>
    </row>
    <row r="91" spans="1:31" x14ac:dyDescent="0.35">
      <c r="A91" t="s">
        <v>14</v>
      </c>
      <c r="B91" s="19">
        <v>4</v>
      </c>
      <c r="C91" s="19" t="s">
        <v>125</v>
      </c>
      <c r="D91" s="19">
        <v>2</v>
      </c>
      <c r="E91" s="19" t="s">
        <v>125</v>
      </c>
      <c r="F91">
        <f>175+88</f>
        <v>263</v>
      </c>
      <c r="G91" s="2">
        <v>3.8559999999999999</v>
      </c>
      <c r="H91" s="4" t="s">
        <v>62</v>
      </c>
      <c r="I91" s="4" t="s">
        <v>82</v>
      </c>
      <c r="J91" s="21">
        <v>4</v>
      </c>
      <c r="K91" s="21">
        <v>6</v>
      </c>
      <c r="L91">
        <v>11.520000000000001</v>
      </c>
      <c r="M91">
        <v>24.000000000000004</v>
      </c>
      <c r="N91">
        <v>45.6</v>
      </c>
      <c r="O91">
        <f t="shared" si="4"/>
        <v>18.880000000000003</v>
      </c>
      <c r="P91">
        <f t="shared" si="5"/>
        <v>14.201183431952662</v>
      </c>
      <c r="Q91">
        <f t="shared" si="6"/>
        <v>29.585798816568047</v>
      </c>
      <c r="R91">
        <f t="shared" si="7"/>
        <v>56.213017751479285</v>
      </c>
      <c r="AC91" t="s">
        <v>85</v>
      </c>
      <c r="AD91" t="s">
        <v>85</v>
      </c>
    </row>
    <row r="92" spans="1:31" x14ac:dyDescent="0.35">
      <c r="A92" t="s">
        <v>14</v>
      </c>
      <c r="B92" s="19">
        <v>5</v>
      </c>
      <c r="C92" s="19" t="s">
        <v>125</v>
      </c>
      <c r="D92" s="19">
        <v>2</v>
      </c>
      <c r="E92" s="19" t="s">
        <v>125</v>
      </c>
      <c r="F92">
        <f>320+273</f>
        <v>593</v>
      </c>
      <c r="G92" s="2">
        <v>33.436</v>
      </c>
      <c r="H92" s="4" t="s">
        <v>62</v>
      </c>
      <c r="I92" s="4" t="s">
        <v>82</v>
      </c>
      <c r="J92" s="21">
        <v>5</v>
      </c>
      <c r="K92" s="21">
        <v>6</v>
      </c>
      <c r="L92">
        <v>11.520000000000001</v>
      </c>
      <c r="M92">
        <v>24.000000000000004</v>
      </c>
      <c r="N92">
        <v>45.6</v>
      </c>
      <c r="O92">
        <f t="shared" si="4"/>
        <v>18.880000000000003</v>
      </c>
      <c r="P92">
        <f t="shared" si="5"/>
        <v>14.201183431952662</v>
      </c>
      <c r="Q92">
        <f t="shared" si="6"/>
        <v>29.585798816568047</v>
      </c>
      <c r="R92">
        <f t="shared" si="7"/>
        <v>56.213017751479285</v>
      </c>
      <c r="S92" s="14">
        <v>19.750834088626192</v>
      </c>
      <c r="T92" s="14">
        <v>0.1453057252443031</v>
      </c>
      <c r="U92" s="14">
        <v>1.9674325924255434</v>
      </c>
      <c r="V92" s="14">
        <v>6.8981515800914744E-2</v>
      </c>
      <c r="W92" s="14">
        <v>1.2357107840444666E-2</v>
      </c>
      <c r="X92" s="14">
        <v>21.944911029937394</v>
      </c>
      <c r="Y92" s="4">
        <v>159.73261141854093</v>
      </c>
      <c r="Z92">
        <v>40</v>
      </c>
      <c r="AA92">
        <v>0.11700000000000088</v>
      </c>
      <c r="AB92">
        <v>4.6226787830897216</v>
      </c>
      <c r="AC92" t="s">
        <v>85</v>
      </c>
      <c r="AD92" t="s">
        <v>85</v>
      </c>
    </row>
    <row r="93" spans="1:31" x14ac:dyDescent="0.35">
      <c r="A93" t="s">
        <v>14</v>
      </c>
      <c r="B93" s="19">
        <v>6</v>
      </c>
      <c r="C93" s="19" t="s">
        <v>125</v>
      </c>
      <c r="D93" s="19">
        <v>2</v>
      </c>
      <c r="E93" s="19" t="s">
        <v>125</v>
      </c>
      <c r="F93">
        <v>386</v>
      </c>
      <c r="G93" s="2">
        <v>11.349</v>
      </c>
      <c r="H93" s="4" t="s">
        <v>62</v>
      </c>
      <c r="I93" s="4" t="s">
        <v>82</v>
      </c>
      <c r="J93" s="21">
        <v>6</v>
      </c>
      <c r="K93" s="21">
        <v>6</v>
      </c>
      <c r="L93">
        <v>11.520000000000001</v>
      </c>
      <c r="M93">
        <v>24.000000000000004</v>
      </c>
      <c r="N93">
        <v>45.6</v>
      </c>
      <c r="O93">
        <f t="shared" si="4"/>
        <v>18.880000000000003</v>
      </c>
      <c r="P93">
        <f t="shared" si="5"/>
        <v>14.201183431952662</v>
      </c>
      <c r="Q93">
        <f t="shared" si="6"/>
        <v>29.585798816568047</v>
      </c>
      <c r="R93">
        <f t="shared" si="7"/>
        <v>56.213017751479285</v>
      </c>
      <c r="S93" s="14">
        <v>17.809733804407813</v>
      </c>
      <c r="T93" s="14">
        <v>0.19363980393151375</v>
      </c>
      <c r="U93" s="14">
        <v>2.7003492718163109</v>
      </c>
      <c r="V93" s="14">
        <v>0.13660170668517965</v>
      </c>
      <c r="W93" s="14">
        <v>5.043280690111342E-3</v>
      </c>
      <c r="X93" s="14">
        <v>20.845367867530928</v>
      </c>
      <c r="Y93" s="4">
        <v>169.30908891408393</v>
      </c>
      <c r="Z93">
        <v>50.375</v>
      </c>
      <c r="AA93">
        <v>0.10500000000000043</v>
      </c>
      <c r="AB93">
        <v>5.463059313215421</v>
      </c>
      <c r="AC93" t="s">
        <v>85</v>
      </c>
      <c r="AD93" t="s">
        <v>85</v>
      </c>
    </row>
    <row r="94" spans="1:31" x14ac:dyDescent="0.35">
      <c r="A94" t="s">
        <v>14</v>
      </c>
      <c r="B94" s="19">
        <v>7</v>
      </c>
      <c r="C94" s="19" t="s">
        <v>125</v>
      </c>
      <c r="D94" s="19">
        <v>2</v>
      </c>
      <c r="E94" s="19" t="s">
        <v>125</v>
      </c>
      <c r="F94">
        <v>395</v>
      </c>
      <c r="G94" s="2">
        <v>6.3390000000000004</v>
      </c>
      <c r="H94" s="4" t="s">
        <v>62</v>
      </c>
      <c r="I94" s="4" t="s">
        <v>82</v>
      </c>
      <c r="J94" s="21">
        <v>7</v>
      </c>
      <c r="K94" s="21">
        <v>6</v>
      </c>
      <c r="L94">
        <v>11.520000000000001</v>
      </c>
      <c r="M94">
        <v>24.000000000000004</v>
      </c>
      <c r="N94">
        <v>45.6</v>
      </c>
      <c r="O94">
        <f t="shared" si="4"/>
        <v>18.880000000000003</v>
      </c>
      <c r="P94">
        <f t="shared" si="5"/>
        <v>14.201183431952662</v>
      </c>
      <c r="Q94">
        <f t="shared" si="6"/>
        <v>29.585798816568047</v>
      </c>
      <c r="R94">
        <f t="shared" si="7"/>
        <v>56.213017751479285</v>
      </c>
      <c r="AC94" t="s">
        <v>85</v>
      </c>
      <c r="AD94" t="s">
        <v>85</v>
      </c>
    </row>
    <row r="95" spans="1:31" x14ac:dyDescent="0.35">
      <c r="A95" t="s">
        <v>14</v>
      </c>
      <c r="B95" s="19">
        <v>8</v>
      </c>
      <c r="C95" s="19" t="s">
        <v>125</v>
      </c>
      <c r="D95" s="19">
        <v>2</v>
      </c>
      <c r="E95" s="19" t="s">
        <v>125</v>
      </c>
      <c r="F95">
        <v>261</v>
      </c>
      <c r="G95" s="2">
        <v>9.9789999999999992</v>
      </c>
      <c r="H95" s="4" t="s">
        <v>62</v>
      </c>
      <c r="I95" s="4" t="s">
        <v>82</v>
      </c>
      <c r="J95" s="21">
        <v>8</v>
      </c>
      <c r="K95" s="21">
        <v>6</v>
      </c>
      <c r="L95">
        <v>11.520000000000001</v>
      </c>
      <c r="M95">
        <v>24.000000000000004</v>
      </c>
      <c r="N95">
        <v>45.6</v>
      </c>
      <c r="O95">
        <f t="shared" si="4"/>
        <v>18.880000000000003</v>
      </c>
      <c r="P95">
        <f t="shared" si="5"/>
        <v>14.201183431952662</v>
      </c>
      <c r="Q95">
        <f t="shared" si="6"/>
        <v>29.585798816568047</v>
      </c>
      <c r="R95">
        <f t="shared" si="7"/>
        <v>56.213017751479285</v>
      </c>
      <c r="S95" s="14">
        <v>18.100093704160738</v>
      </c>
      <c r="T95" s="14">
        <v>0.17443197504382102</v>
      </c>
      <c r="U95" s="14">
        <v>1.7581452822580128</v>
      </c>
      <c r="V95" s="14">
        <v>9.9752527693367912E-2</v>
      </c>
      <c r="W95" s="14">
        <v>9.7682756472986334E-4</v>
      </c>
      <c r="X95" s="14">
        <v>20.133400316720671</v>
      </c>
      <c r="Y95" s="4">
        <v>162.8392473964964</v>
      </c>
      <c r="Z95">
        <v>45.8125</v>
      </c>
      <c r="AA95">
        <v>9.7999999999998977E-2</v>
      </c>
      <c r="AB95">
        <v>4.6139359698681277</v>
      </c>
      <c r="AC95" t="s">
        <v>85</v>
      </c>
      <c r="AD95" t="s">
        <v>85</v>
      </c>
    </row>
    <row r="96" spans="1:31" x14ac:dyDescent="0.35">
      <c r="A96" t="s">
        <v>14</v>
      </c>
      <c r="B96" s="19">
        <v>9</v>
      </c>
      <c r="C96" s="19" t="s">
        <v>124</v>
      </c>
      <c r="D96" s="19">
        <v>1</v>
      </c>
      <c r="F96">
        <v>261</v>
      </c>
      <c r="G96">
        <v>12.614000000000001</v>
      </c>
      <c r="H96" s="4" t="s">
        <v>62</v>
      </c>
      <c r="I96" s="4" t="s">
        <v>82</v>
      </c>
      <c r="J96" s="19">
        <v>1</v>
      </c>
      <c r="K96" s="21">
        <v>6</v>
      </c>
      <c r="L96">
        <v>11.520000000000001</v>
      </c>
      <c r="M96">
        <v>24.000000000000004</v>
      </c>
      <c r="N96">
        <v>45.6</v>
      </c>
      <c r="O96">
        <f t="shared" si="4"/>
        <v>18.880000000000003</v>
      </c>
      <c r="P96">
        <f t="shared" si="5"/>
        <v>14.201183431952662</v>
      </c>
      <c r="Q96">
        <f t="shared" si="6"/>
        <v>29.585798816568047</v>
      </c>
      <c r="R96">
        <f t="shared" si="7"/>
        <v>56.213017751479285</v>
      </c>
      <c r="S96" s="14"/>
      <c r="T96" s="14"/>
      <c r="U96" s="14"/>
      <c r="V96" s="14"/>
      <c r="W96" s="14"/>
      <c r="X96" s="14"/>
      <c r="AC96" t="s">
        <v>87</v>
      </c>
      <c r="AD96" t="s">
        <v>87</v>
      </c>
    </row>
    <row r="97" spans="1:35" x14ac:dyDescent="0.35">
      <c r="A97" t="s">
        <v>14</v>
      </c>
      <c r="B97" s="19">
        <v>10</v>
      </c>
      <c r="C97" s="19" t="s">
        <v>124</v>
      </c>
      <c r="D97" s="19">
        <v>1</v>
      </c>
      <c r="F97">
        <v>170</v>
      </c>
      <c r="G97">
        <v>5.2220000000000004</v>
      </c>
      <c r="H97" s="4" t="s">
        <v>62</v>
      </c>
      <c r="I97" s="4" t="s">
        <v>82</v>
      </c>
      <c r="J97" s="19">
        <v>2</v>
      </c>
      <c r="K97" s="21">
        <v>6</v>
      </c>
      <c r="L97">
        <v>11.520000000000001</v>
      </c>
      <c r="M97">
        <v>24.000000000000004</v>
      </c>
      <c r="N97">
        <v>45.6</v>
      </c>
      <c r="O97">
        <f t="shared" si="4"/>
        <v>18.880000000000003</v>
      </c>
      <c r="P97">
        <f t="shared" si="5"/>
        <v>14.201183431952662</v>
      </c>
      <c r="Q97">
        <f t="shared" si="6"/>
        <v>29.585798816568047</v>
      </c>
      <c r="R97">
        <f t="shared" si="7"/>
        <v>56.213017751479285</v>
      </c>
      <c r="S97" s="14"/>
      <c r="T97" s="14"/>
      <c r="U97" s="14"/>
      <c r="V97" s="14"/>
      <c r="W97" s="14"/>
      <c r="X97" s="14"/>
      <c r="AC97" t="s">
        <v>87</v>
      </c>
      <c r="AD97" t="s">
        <v>87</v>
      </c>
      <c r="AH97" s="5"/>
      <c r="AI97" s="6"/>
    </row>
    <row r="98" spans="1:35" x14ac:dyDescent="0.35">
      <c r="A98" t="s">
        <v>15</v>
      </c>
      <c r="B98" s="19">
        <v>1</v>
      </c>
      <c r="C98" s="19" t="s">
        <v>125</v>
      </c>
      <c r="D98" s="19">
        <v>2</v>
      </c>
      <c r="E98" s="19" t="s">
        <v>125</v>
      </c>
      <c r="F98">
        <v>608</v>
      </c>
      <c r="G98" s="2">
        <v>15.613</v>
      </c>
      <c r="H98" s="4" t="s">
        <v>62</v>
      </c>
      <c r="I98" s="4" t="s">
        <v>82</v>
      </c>
      <c r="J98" s="19">
        <v>1</v>
      </c>
      <c r="K98" s="21">
        <v>6</v>
      </c>
      <c r="L98">
        <v>38.266666666666666</v>
      </c>
      <c r="M98">
        <v>4.7666666666666657</v>
      </c>
      <c r="N98">
        <v>40.700000000000003</v>
      </c>
      <c r="O98">
        <f t="shared" si="4"/>
        <v>16.266666666666666</v>
      </c>
      <c r="P98">
        <f t="shared" si="5"/>
        <v>45.70063694267516</v>
      </c>
      <c r="Q98">
        <f t="shared" si="6"/>
        <v>5.6926751592356677</v>
      </c>
      <c r="R98">
        <f t="shared" si="7"/>
        <v>48.606687898089177</v>
      </c>
      <c r="S98" s="14">
        <v>1.1750226470163532</v>
      </c>
      <c r="T98" s="14">
        <v>0.14704979105989385</v>
      </c>
      <c r="U98" s="14">
        <v>2.6239346756971043</v>
      </c>
      <c r="V98" s="14">
        <v>0.24725150151296546</v>
      </c>
      <c r="W98" s="14">
        <v>8.9381770558311178E-3</v>
      </c>
      <c r="X98" s="14">
        <v>4.2021967923421482</v>
      </c>
      <c r="Y98" s="4">
        <v>65.473894127132098</v>
      </c>
      <c r="Z98">
        <v>61.375</v>
      </c>
      <c r="AA98">
        <v>0.1639999999999997</v>
      </c>
      <c r="AB98">
        <v>7.3246985261277198</v>
      </c>
      <c r="AC98" t="s">
        <v>85</v>
      </c>
      <c r="AD98" t="s">
        <v>85</v>
      </c>
      <c r="AH98" s="3"/>
      <c r="AI98" s="3"/>
    </row>
    <row r="99" spans="1:35" x14ac:dyDescent="0.35">
      <c r="A99" t="s">
        <v>15</v>
      </c>
      <c r="B99" s="19">
        <v>2</v>
      </c>
      <c r="C99" s="19" t="s">
        <v>125</v>
      </c>
      <c r="D99" s="19">
        <v>2</v>
      </c>
      <c r="E99" s="19" t="s">
        <v>125</v>
      </c>
      <c r="F99">
        <v>393</v>
      </c>
      <c r="G99" s="2">
        <v>5.7789999999999999</v>
      </c>
      <c r="H99" s="4" t="s">
        <v>62</v>
      </c>
      <c r="I99" s="4" t="s">
        <v>82</v>
      </c>
      <c r="J99" s="19">
        <v>2</v>
      </c>
      <c r="K99" s="21">
        <v>6</v>
      </c>
      <c r="L99">
        <v>38.266666666666666</v>
      </c>
      <c r="M99">
        <v>4.7666666666666657</v>
      </c>
      <c r="N99">
        <v>40.700000000000003</v>
      </c>
      <c r="O99">
        <f t="shared" si="4"/>
        <v>16.266666666666666</v>
      </c>
      <c r="P99">
        <f t="shared" si="5"/>
        <v>45.70063694267516</v>
      </c>
      <c r="Q99">
        <f t="shared" si="6"/>
        <v>5.6926751592356677</v>
      </c>
      <c r="R99">
        <f t="shared" si="7"/>
        <v>48.606687898089177</v>
      </c>
      <c r="AC99" t="s">
        <v>85</v>
      </c>
      <c r="AD99" t="s">
        <v>85</v>
      </c>
      <c r="AE99" t="s">
        <v>85</v>
      </c>
    </row>
    <row r="100" spans="1:35" x14ac:dyDescent="0.35">
      <c r="A100" t="s">
        <v>15</v>
      </c>
      <c r="B100" s="19">
        <v>3</v>
      </c>
      <c r="C100" s="19" t="s">
        <v>125</v>
      </c>
      <c r="D100" s="19">
        <v>2</v>
      </c>
      <c r="E100" s="19" t="s">
        <v>125</v>
      </c>
      <c r="F100">
        <f>369+343</f>
        <v>712</v>
      </c>
      <c r="G100" s="2">
        <v>16.965</v>
      </c>
      <c r="H100" s="4" t="s">
        <v>62</v>
      </c>
      <c r="I100" s="4" t="s">
        <v>82</v>
      </c>
      <c r="J100" s="19">
        <v>3</v>
      </c>
      <c r="K100" s="21">
        <v>6</v>
      </c>
      <c r="L100">
        <v>38.266666666666666</v>
      </c>
      <c r="M100">
        <v>4.7666666666666657</v>
      </c>
      <c r="N100">
        <v>40.700000000000003</v>
      </c>
      <c r="O100">
        <f t="shared" si="4"/>
        <v>16.266666666666666</v>
      </c>
      <c r="P100">
        <f t="shared" si="5"/>
        <v>45.70063694267516</v>
      </c>
      <c r="Q100">
        <f t="shared" si="6"/>
        <v>5.6926751592356677</v>
      </c>
      <c r="R100">
        <f t="shared" si="7"/>
        <v>48.606687898089177</v>
      </c>
      <c r="S100" s="14">
        <v>1.009775755555421</v>
      </c>
      <c r="T100" s="14">
        <v>0.13895966321955902</v>
      </c>
      <c r="U100" s="14">
        <v>1.9331103079784064</v>
      </c>
      <c r="V100" s="14">
        <v>0.2310632589256881</v>
      </c>
      <c r="W100" s="14">
        <v>6.7068919705317222E-3</v>
      </c>
      <c r="X100" s="14">
        <v>3.3196158776496065</v>
      </c>
      <c r="Y100" s="4">
        <v>47.419817717538464</v>
      </c>
      <c r="Z100">
        <v>65.6875</v>
      </c>
      <c r="AA100">
        <v>0.13000000000000078</v>
      </c>
      <c r="AB100">
        <v>5.8743786714867028</v>
      </c>
      <c r="AC100" t="s">
        <v>85</v>
      </c>
      <c r="AD100" t="s">
        <v>85</v>
      </c>
    </row>
    <row r="101" spans="1:35" x14ac:dyDescent="0.35">
      <c r="A101" t="s">
        <v>15</v>
      </c>
      <c r="B101" s="19">
        <v>4</v>
      </c>
      <c r="C101" s="19" t="s">
        <v>125</v>
      </c>
      <c r="D101" s="19">
        <v>2</v>
      </c>
      <c r="E101" s="19" t="s">
        <v>125</v>
      </c>
      <c r="F101">
        <f>295+221</f>
        <v>516</v>
      </c>
      <c r="G101" s="2">
        <v>6.5439999999999996</v>
      </c>
      <c r="H101" s="4" t="s">
        <v>62</v>
      </c>
      <c r="I101" s="4" t="s">
        <v>82</v>
      </c>
      <c r="J101" s="19">
        <v>4</v>
      </c>
      <c r="K101" s="21">
        <v>6</v>
      </c>
      <c r="L101">
        <v>38.266666666666666</v>
      </c>
      <c r="M101">
        <v>4.7666666666666657</v>
      </c>
      <c r="N101">
        <v>40.700000000000003</v>
      </c>
      <c r="O101">
        <f t="shared" si="4"/>
        <v>16.266666666666666</v>
      </c>
      <c r="P101">
        <f t="shared" si="5"/>
        <v>45.70063694267516</v>
      </c>
      <c r="Q101">
        <f t="shared" si="6"/>
        <v>5.6926751592356677</v>
      </c>
      <c r="R101">
        <f t="shared" si="7"/>
        <v>48.606687898089177</v>
      </c>
      <c r="AC101" t="s">
        <v>85</v>
      </c>
      <c r="AD101" t="s">
        <v>85</v>
      </c>
      <c r="AF101" t="s">
        <v>88</v>
      </c>
    </row>
    <row r="102" spans="1:35" x14ac:dyDescent="0.35">
      <c r="A102" t="s">
        <v>15</v>
      </c>
      <c r="B102" s="19">
        <v>5</v>
      </c>
      <c r="C102" s="19" t="s">
        <v>125</v>
      </c>
      <c r="D102" s="19">
        <v>2</v>
      </c>
      <c r="E102" s="19" t="s">
        <v>125</v>
      </c>
      <c r="F102">
        <f>283+275</f>
        <v>558</v>
      </c>
      <c r="G102" s="2">
        <v>29.725000000000001</v>
      </c>
      <c r="H102" s="4" t="s">
        <v>62</v>
      </c>
      <c r="I102" s="4" t="s">
        <v>82</v>
      </c>
      <c r="J102" s="19">
        <v>5</v>
      </c>
      <c r="K102" s="21">
        <v>6</v>
      </c>
      <c r="L102">
        <v>38.266666666666666</v>
      </c>
      <c r="M102">
        <v>4.7666666666666657</v>
      </c>
      <c r="N102">
        <v>40.700000000000003</v>
      </c>
      <c r="O102">
        <f t="shared" si="4"/>
        <v>16.266666666666666</v>
      </c>
      <c r="P102">
        <f t="shared" si="5"/>
        <v>45.70063694267516</v>
      </c>
      <c r="Q102">
        <f t="shared" si="6"/>
        <v>5.6926751592356677</v>
      </c>
      <c r="R102">
        <f t="shared" si="7"/>
        <v>48.606687898089177</v>
      </c>
      <c r="S102" s="14">
        <v>1.3553856748675635</v>
      </c>
      <c r="T102" s="14">
        <v>0.14034191060472911</v>
      </c>
      <c r="U102" s="14">
        <v>1.8130768813941929</v>
      </c>
      <c r="V102" s="14">
        <v>0.18650582764239396</v>
      </c>
      <c r="W102" s="14">
        <v>7.6782286121800701E-3</v>
      </c>
      <c r="X102" s="14">
        <v>3.5029885231210596</v>
      </c>
      <c r="Y102" s="4">
        <v>91.065265596438437</v>
      </c>
      <c r="Z102">
        <v>54.1875</v>
      </c>
      <c r="AA102">
        <v>0.31899999999999906</v>
      </c>
      <c r="AB102">
        <v>10.876235935901777</v>
      </c>
      <c r="AC102" t="s">
        <v>85</v>
      </c>
      <c r="AD102" t="s">
        <v>85</v>
      </c>
      <c r="AE102" t="s">
        <v>85</v>
      </c>
      <c r="AF102" t="s">
        <v>89</v>
      </c>
    </row>
    <row r="103" spans="1:35" x14ac:dyDescent="0.35">
      <c r="A103" t="s">
        <v>15</v>
      </c>
      <c r="B103" s="19">
        <v>6</v>
      </c>
      <c r="C103" s="19" t="s">
        <v>125</v>
      </c>
      <c r="D103" s="19">
        <v>2</v>
      </c>
      <c r="E103" s="19" t="s">
        <v>125</v>
      </c>
      <c r="F103">
        <v>402</v>
      </c>
      <c r="G103" s="2">
        <v>7.2640000000000002</v>
      </c>
      <c r="H103" s="4" t="s">
        <v>62</v>
      </c>
      <c r="I103" s="4" t="s">
        <v>82</v>
      </c>
      <c r="J103" s="19">
        <v>6</v>
      </c>
      <c r="K103" s="21">
        <v>6</v>
      </c>
      <c r="L103">
        <v>38.266666666666666</v>
      </c>
      <c r="M103">
        <v>4.7666666666666657</v>
      </c>
      <c r="N103">
        <v>40.700000000000003</v>
      </c>
      <c r="O103">
        <f t="shared" si="4"/>
        <v>16.266666666666666</v>
      </c>
      <c r="P103">
        <f t="shared" si="5"/>
        <v>45.70063694267516</v>
      </c>
      <c r="Q103">
        <f t="shared" si="6"/>
        <v>5.6926751592356677</v>
      </c>
      <c r="R103">
        <f t="shared" si="7"/>
        <v>48.606687898089177</v>
      </c>
      <c r="S103" s="14">
        <v>0.59777554429803315</v>
      </c>
      <c r="T103" s="14">
        <v>0.16289181702093519</v>
      </c>
      <c r="U103" s="14">
        <v>2.0494945938990048</v>
      </c>
      <c r="V103" s="14">
        <v>0.22474726977003423</v>
      </c>
      <c r="W103" s="14">
        <v>8.5720582890360959E-3</v>
      </c>
      <c r="X103" s="14">
        <v>3.0434812832770435</v>
      </c>
      <c r="Y103" s="4">
        <v>45.077733451110063</v>
      </c>
      <c r="Z103">
        <v>68.5625</v>
      </c>
      <c r="AA103">
        <v>0.14100000000000001</v>
      </c>
      <c r="AB103">
        <v>6.7658349328214991</v>
      </c>
      <c r="AC103" t="s">
        <v>85</v>
      </c>
      <c r="AD103" t="s">
        <v>85</v>
      </c>
    </row>
    <row r="104" spans="1:35" x14ac:dyDescent="0.35">
      <c r="A104" t="s">
        <v>15</v>
      </c>
      <c r="B104" s="19">
        <v>7</v>
      </c>
      <c r="C104" s="19" t="s">
        <v>125</v>
      </c>
      <c r="D104" s="19">
        <v>2</v>
      </c>
      <c r="E104" s="19" t="s">
        <v>125</v>
      </c>
      <c r="F104">
        <v>364</v>
      </c>
      <c r="G104" s="2">
        <v>4.0650000000000004</v>
      </c>
      <c r="H104" s="4" t="s">
        <v>62</v>
      </c>
      <c r="I104" s="4" t="s">
        <v>82</v>
      </c>
      <c r="J104" s="19">
        <v>7</v>
      </c>
      <c r="K104" s="21">
        <v>6</v>
      </c>
      <c r="L104">
        <v>38.266666666666666</v>
      </c>
      <c r="M104">
        <v>4.7666666666666657</v>
      </c>
      <c r="N104">
        <v>40.700000000000003</v>
      </c>
      <c r="O104">
        <f t="shared" si="4"/>
        <v>16.266666666666666</v>
      </c>
      <c r="P104">
        <f t="shared" si="5"/>
        <v>45.70063694267516</v>
      </c>
      <c r="Q104">
        <f t="shared" si="6"/>
        <v>5.6926751592356677</v>
      </c>
      <c r="R104">
        <f t="shared" si="7"/>
        <v>48.606687898089177</v>
      </c>
      <c r="S104" s="14"/>
      <c r="T104" s="14"/>
      <c r="U104" s="14"/>
      <c r="V104" s="14"/>
      <c r="W104" s="14"/>
      <c r="X104" s="14"/>
      <c r="AC104" t="s">
        <v>85</v>
      </c>
      <c r="AD104" t="s">
        <v>85</v>
      </c>
    </row>
    <row r="105" spans="1:35" x14ac:dyDescent="0.35">
      <c r="A105" t="s">
        <v>15</v>
      </c>
      <c r="B105" s="19">
        <v>8</v>
      </c>
      <c r="C105" s="19" t="s">
        <v>125</v>
      </c>
      <c r="D105" s="19">
        <v>2</v>
      </c>
      <c r="E105" s="19" t="s">
        <v>125</v>
      </c>
      <c r="F105">
        <f>382+279</f>
        <v>661</v>
      </c>
      <c r="G105" s="2">
        <v>23.777999999999999</v>
      </c>
      <c r="H105" s="4" t="s">
        <v>62</v>
      </c>
      <c r="I105" s="4" t="s">
        <v>82</v>
      </c>
      <c r="J105" s="19">
        <v>8</v>
      </c>
      <c r="K105" s="21">
        <v>6</v>
      </c>
      <c r="L105">
        <v>38.266666666666666</v>
      </c>
      <c r="M105">
        <v>4.7666666666666657</v>
      </c>
      <c r="N105">
        <v>40.700000000000003</v>
      </c>
      <c r="O105">
        <f t="shared" si="4"/>
        <v>16.266666666666666</v>
      </c>
      <c r="P105">
        <f t="shared" si="5"/>
        <v>45.70063694267516</v>
      </c>
      <c r="Q105">
        <f t="shared" si="6"/>
        <v>5.6926751592356677</v>
      </c>
      <c r="R105">
        <f t="shared" si="7"/>
        <v>48.606687898089177</v>
      </c>
      <c r="S105" s="14">
        <v>1.158587879727234</v>
      </c>
      <c r="T105" s="14">
        <v>0.13443438762825052</v>
      </c>
      <c r="U105" s="14">
        <v>1.7759703666313249</v>
      </c>
      <c r="V105" s="14">
        <v>0.1867905909068725</v>
      </c>
      <c r="W105" s="14">
        <v>4.9150730575873453E-3</v>
      </c>
      <c r="X105" s="14">
        <v>3.2606982979512695</v>
      </c>
      <c r="Y105" s="4">
        <v>63.093714272989118</v>
      </c>
      <c r="Z105">
        <v>53.937500000000007</v>
      </c>
      <c r="AA105">
        <v>0.159</v>
      </c>
      <c r="AB105">
        <v>6.2499999999999938</v>
      </c>
      <c r="AC105" t="s">
        <v>85</v>
      </c>
      <c r="AD105" t="s">
        <v>85</v>
      </c>
    </row>
    <row r="106" spans="1:35" x14ac:dyDescent="0.35">
      <c r="A106" t="s">
        <v>15</v>
      </c>
      <c r="B106" s="19">
        <v>9</v>
      </c>
      <c r="C106" s="19" t="s">
        <v>124</v>
      </c>
      <c r="D106" s="19">
        <v>1</v>
      </c>
      <c r="F106">
        <v>167</v>
      </c>
      <c r="G106">
        <v>3.4020000000000001</v>
      </c>
      <c r="H106" s="4" t="s">
        <v>62</v>
      </c>
      <c r="I106" s="4" t="s">
        <v>82</v>
      </c>
      <c r="J106" s="19">
        <v>1</v>
      </c>
      <c r="K106" s="21">
        <v>6</v>
      </c>
      <c r="L106">
        <v>38.266666666666666</v>
      </c>
      <c r="M106">
        <v>4.7666666666666657</v>
      </c>
      <c r="N106">
        <v>40.700000000000003</v>
      </c>
      <c r="O106">
        <f t="shared" si="4"/>
        <v>16.266666666666666</v>
      </c>
      <c r="P106">
        <f t="shared" si="5"/>
        <v>45.70063694267516</v>
      </c>
      <c r="Q106">
        <f t="shared" si="6"/>
        <v>5.6926751592356677</v>
      </c>
      <c r="R106">
        <f t="shared" si="7"/>
        <v>48.606687898089177</v>
      </c>
      <c r="S106" s="14"/>
      <c r="T106" s="14"/>
      <c r="U106" s="14"/>
      <c r="V106" s="14"/>
      <c r="W106" s="14"/>
      <c r="X106" s="14"/>
      <c r="AC106" t="s">
        <v>87</v>
      </c>
      <c r="AD106" t="s">
        <v>87</v>
      </c>
    </row>
    <row r="107" spans="1:35" x14ac:dyDescent="0.35">
      <c r="A107" t="s">
        <v>15</v>
      </c>
      <c r="B107" s="19">
        <v>10</v>
      </c>
      <c r="C107" s="19" t="s">
        <v>124</v>
      </c>
      <c r="D107" s="19">
        <v>1</v>
      </c>
      <c r="F107">
        <v>240</v>
      </c>
      <c r="G107">
        <v>4.5940000000000003</v>
      </c>
      <c r="H107" s="4" t="s">
        <v>62</v>
      </c>
      <c r="I107" s="4" t="s">
        <v>82</v>
      </c>
      <c r="J107" s="19">
        <v>2</v>
      </c>
      <c r="K107" s="21">
        <v>6</v>
      </c>
      <c r="L107">
        <v>38.266666666666666</v>
      </c>
      <c r="M107">
        <v>4.7666666666666657</v>
      </c>
      <c r="N107">
        <v>40.700000000000003</v>
      </c>
      <c r="O107">
        <f t="shared" si="4"/>
        <v>16.266666666666666</v>
      </c>
      <c r="P107">
        <f t="shared" si="5"/>
        <v>45.70063694267516</v>
      </c>
      <c r="Q107">
        <f t="shared" si="6"/>
        <v>5.6926751592356677</v>
      </c>
      <c r="R107">
        <f t="shared" si="7"/>
        <v>48.606687898089177</v>
      </c>
      <c r="S107" s="14"/>
      <c r="T107" s="14"/>
      <c r="U107" s="14"/>
      <c r="V107" s="14"/>
      <c r="W107" s="14"/>
      <c r="X107" s="14"/>
      <c r="AC107" t="s">
        <v>87</v>
      </c>
      <c r="AD107" t="s">
        <v>87</v>
      </c>
      <c r="AH107" s="5"/>
      <c r="AI107" s="6"/>
    </row>
    <row r="108" spans="1:35" x14ac:dyDescent="0.35">
      <c r="A108" t="s">
        <v>13</v>
      </c>
      <c r="B108" s="19">
        <v>1</v>
      </c>
      <c r="C108" s="19" t="s">
        <v>125</v>
      </c>
      <c r="D108" s="19">
        <v>2</v>
      </c>
      <c r="E108" s="19" t="s">
        <v>125</v>
      </c>
      <c r="F108">
        <v>433</v>
      </c>
      <c r="G108" s="2">
        <v>4.3220000000000001</v>
      </c>
      <c r="H108" s="4" t="s">
        <v>62</v>
      </c>
      <c r="I108" s="4" t="s">
        <v>82</v>
      </c>
      <c r="J108" s="19">
        <v>1</v>
      </c>
      <c r="K108" s="21">
        <v>6</v>
      </c>
      <c r="L108">
        <v>50.2</v>
      </c>
      <c r="M108">
        <v>3.65</v>
      </c>
      <c r="N108">
        <v>32.549999999999997</v>
      </c>
      <c r="O108">
        <f t="shared" si="4"/>
        <v>13.600000000000001</v>
      </c>
      <c r="P108">
        <f t="shared" si="5"/>
        <v>58.101851851851848</v>
      </c>
      <c r="Q108">
        <f t="shared" si="6"/>
        <v>4.2245370370370363</v>
      </c>
      <c r="R108">
        <f t="shared" si="7"/>
        <v>37.673611111111107</v>
      </c>
      <c r="AC108" t="s">
        <v>85</v>
      </c>
      <c r="AD108" t="s">
        <v>85</v>
      </c>
      <c r="AH108" s="3"/>
      <c r="AI108" s="3"/>
    </row>
    <row r="109" spans="1:35" x14ac:dyDescent="0.35">
      <c r="A109" t="s">
        <v>13</v>
      </c>
      <c r="B109" s="19">
        <v>2</v>
      </c>
      <c r="C109" s="19" t="s">
        <v>125</v>
      </c>
      <c r="D109" s="19">
        <v>2</v>
      </c>
      <c r="E109" s="19" t="s">
        <v>125</v>
      </c>
      <c r="F109">
        <f>315+196</f>
        <v>511</v>
      </c>
      <c r="G109" s="2">
        <v>11.09</v>
      </c>
      <c r="H109" s="4" t="s">
        <v>62</v>
      </c>
      <c r="I109" s="4" t="s">
        <v>82</v>
      </c>
      <c r="J109" s="19">
        <v>2</v>
      </c>
      <c r="K109" s="21">
        <v>6</v>
      </c>
      <c r="L109">
        <v>50.2</v>
      </c>
      <c r="M109">
        <v>3.65</v>
      </c>
      <c r="N109">
        <v>32.549999999999997</v>
      </c>
      <c r="O109">
        <f t="shared" si="4"/>
        <v>13.600000000000001</v>
      </c>
      <c r="P109">
        <f t="shared" si="5"/>
        <v>58.101851851851848</v>
      </c>
      <c r="Q109">
        <f t="shared" si="6"/>
        <v>4.2245370370370363</v>
      </c>
      <c r="R109">
        <f t="shared" si="7"/>
        <v>37.673611111111107</v>
      </c>
      <c r="S109" s="14">
        <v>0.59919227377674367</v>
      </c>
      <c r="T109" s="14">
        <v>9.8859138206784575E-2</v>
      </c>
      <c r="U109" s="14">
        <v>1.9845357397030856</v>
      </c>
      <c r="V109" s="14">
        <v>0.27732258930117454</v>
      </c>
      <c r="W109" s="14">
        <v>8.3293810160232941E-3</v>
      </c>
      <c r="X109" s="14">
        <v>2.9682391220038116</v>
      </c>
      <c r="Y109" s="4">
        <v>31.384782879296356</v>
      </c>
      <c r="Z109">
        <v>76.25</v>
      </c>
      <c r="AA109">
        <v>0.14499999999999957</v>
      </c>
      <c r="AB109">
        <v>8.0690038953811651</v>
      </c>
      <c r="AC109" t="s">
        <v>85</v>
      </c>
      <c r="AD109" t="s">
        <v>85</v>
      </c>
      <c r="AE109" t="s">
        <v>85</v>
      </c>
    </row>
    <row r="110" spans="1:35" x14ac:dyDescent="0.35">
      <c r="A110" t="s">
        <v>13</v>
      </c>
      <c r="B110" s="19">
        <v>3</v>
      </c>
      <c r="C110" s="19" t="s">
        <v>125</v>
      </c>
      <c r="D110" s="19">
        <v>2</v>
      </c>
      <c r="E110" s="19" t="s">
        <v>125</v>
      </c>
      <c r="F110">
        <v>269</v>
      </c>
      <c r="G110" s="2">
        <v>8.6859999999999999</v>
      </c>
      <c r="H110" s="4" t="s">
        <v>62</v>
      </c>
      <c r="I110" s="4" t="s">
        <v>82</v>
      </c>
      <c r="J110" s="19">
        <v>3</v>
      </c>
      <c r="K110" s="21">
        <v>6</v>
      </c>
      <c r="L110">
        <v>50.2</v>
      </c>
      <c r="M110">
        <v>3.65</v>
      </c>
      <c r="N110">
        <v>32.549999999999997</v>
      </c>
      <c r="O110">
        <f t="shared" si="4"/>
        <v>13.600000000000001</v>
      </c>
      <c r="P110">
        <f t="shared" si="5"/>
        <v>58.101851851851848</v>
      </c>
      <c r="Q110">
        <f t="shared" si="6"/>
        <v>4.2245370370370363</v>
      </c>
      <c r="R110">
        <f t="shared" si="7"/>
        <v>37.673611111111107</v>
      </c>
      <c r="AC110" t="s">
        <v>85</v>
      </c>
      <c r="AD110" t="s">
        <v>85</v>
      </c>
      <c r="AE110" t="s">
        <v>85</v>
      </c>
    </row>
    <row r="111" spans="1:35" x14ac:dyDescent="0.35">
      <c r="A111" t="s">
        <v>13</v>
      </c>
      <c r="B111" s="19">
        <v>4</v>
      </c>
      <c r="C111" s="19" t="s">
        <v>125</v>
      </c>
      <c r="D111" s="19">
        <v>2</v>
      </c>
      <c r="E111" s="19" t="s">
        <v>125</v>
      </c>
      <c r="F111">
        <v>394</v>
      </c>
      <c r="G111" s="2">
        <v>12.209</v>
      </c>
      <c r="H111" s="4" t="s">
        <v>62</v>
      </c>
      <c r="I111" s="4" t="s">
        <v>82</v>
      </c>
      <c r="J111" s="19">
        <v>4</v>
      </c>
      <c r="K111" s="21">
        <v>6</v>
      </c>
      <c r="L111">
        <v>50.2</v>
      </c>
      <c r="M111">
        <v>3.65</v>
      </c>
      <c r="N111">
        <v>32.549999999999997</v>
      </c>
      <c r="O111">
        <f t="shared" si="4"/>
        <v>13.600000000000001</v>
      </c>
      <c r="P111">
        <f t="shared" si="5"/>
        <v>58.101851851851848</v>
      </c>
      <c r="Q111">
        <f t="shared" si="6"/>
        <v>4.2245370370370363</v>
      </c>
      <c r="R111">
        <f t="shared" si="7"/>
        <v>37.673611111111107</v>
      </c>
      <c r="S111" s="14">
        <v>0.64132175901548494</v>
      </c>
      <c r="T111" s="14">
        <v>7.4766181870946982E-2</v>
      </c>
      <c r="U111" s="14">
        <v>1.7033189539577269</v>
      </c>
      <c r="V111" s="14">
        <v>0.15733756291987619</v>
      </c>
      <c r="W111" s="14">
        <v>2.6139226418746731E-3</v>
      </c>
      <c r="X111" s="14">
        <v>2.5793583804059095</v>
      </c>
      <c r="Y111" s="4">
        <v>45.951787654145463</v>
      </c>
      <c r="Z111">
        <v>64.3125</v>
      </c>
      <c r="AA111">
        <v>0.16300000000000026</v>
      </c>
      <c r="AB111">
        <v>5.6459993072393573</v>
      </c>
      <c r="AC111" t="s">
        <v>85</v>
      </c>
      <c r="AD111" t="s">
        <v>85</v>
      </c>
    </row>
    <row r="112" spans="1:35" x14ac:dyDescent="0.35">
      <c r="A112" t="s">
        <v>13</v>
      </c>
      <c r="B112" s="19">
        <v>5</v>
      </c>
      <c r="C112" s="19" t="s">
        <v>125</v>
      </c>
      <c r="D112" s="19">
        <v>2</v>
      </c>
      <c r="E112" s="19" t="s">
        <v>125</v>
      </c>
      <c r="F112">
        <v>377</v>
      </c>
      <c r="G112" s="2">
        <v>9.1929999999999996</v>
      </c>
      <c r="H112" s="4" t="s">
        <v>62</v>
      </c>
      <c r="I112" s="4" t="s">
        <v>82</v>
      </c>
      <c r="J112" s="19">
        <v>5</v>
      </c>
      <c r="K112" s="21">
        <v>6</v>
      </c>
      <c r="L112">
        <v>50.2</v>
      </c>
      <c r="M112">
        <v>3.65</v>
      </c>
      <c r="N112">
        <v>32.549999999999997</v>
      </c>
      <c r="O112">
        <f t="shared" si="4"/>
        <v>13.600000000000001</v>
      </c>
      <c r="P112">
        <f t="shared" si="5"/>
        <v>58.101851851851848</v>
      </c>
      <c r="Q112">
        <f t="shared" si="6"/>
        <v>4.2245370370370363</v>
      </c>
      <c r="R112">
        <f t="shared" si="7"/>
        <v>37.673611111111107</v>
      </c>
      <c r="AC112" t="s">
        <v>85</v>
      </c>
      <c r="AD112" t="s">
        <v>85</v>
      </c>
    </row>
    <row r="113" spans="1:35" x14ac:dyDescent="0.35">
      <c r="A113" t="s">
        <v>13</v>
      </c>
      <c r="B113" s="19">
        <v>6</v>
      </c>
      <c r="C113" s="19" t="s">
        <v>125</v>
      </c>
      <c r="D113" s="19">
        <v>2</v>
      </c>
      <c r="E113" s="19" t="s">
        <v>125</v>
      </c>
      <c r="F113">
        <f>347+240</f>
        <v>587</v>
      </c>
      <c r="G113" s="2">
        <v>18.600000000000001</v>
      </c>
      <c r="H113" s="4" t="s">
        <v>62</v>
      </c>
      <c r="I113" s="4" t="s">
        <v>82</v>
      </c>
      <c r="J113" s="19">
        <v>6</v>
      </c>
      <c r="K113" s="21">
        <v>6</v>
      </c>
      <c r="L113">
        <v>50.2</v>
      </c>
      <c r="M113">
        <v>3.65</v>
      </c>
      <c r="N113">
        <v>32.549999999999997</v>
      </c>
      <c r="O113">
        <f t="shared" si="4"/>
        <v>13.600000000000001</v>
      </c>
      <c r="P113">
        <f t="shared" si="5"/>
        <v>58.101851851851848</v>
      </c>
      <c r="Q113">
        <f t="shared" si="6"/>
        <v>4.2245370370370363</v>
      </c>
      <c r="R113">
        <f t="shared" si="7"/>
        <v>37.673611111111107</v>
      </c>
      <c r="S113" s="14">
        <v>1.0827543648932623</v>
      </c>
      <c r="T113" s="14">
        <v>0.16595327904989216</v>
      </c>
      <c r="U113" s="14">
        <v>2.2004855950671782</v>
      </c>
      <c r="V113" s="14">
        <v>0.28705244664532975</v>
      </c>
      <c r="W113" s="14">
        <v>9.6186360487343879E-3</v>
      </c>
      <c r="X113" s="14">
        <v>3.7458643217043965</v>
      </c>
      <c r="Y113" s="4">
        <v>70.798237668244496</v>
      </c>
      <c r="Z113">
        <v>63.1875</v>
      </c>
      <c r="AA113">
        <v>0.13200000000000145</v>
      </c>
      <c r="AB113">
        <v>5.5955913522679719</v>
      </c>
      <c r="AC113" t="s">
        <v>85</v>
      </c>
      <c r="AD113" t="s">
        <v>85</v>
      </c>
    </row>
    <row r="114" spans="1:35" x14ac:dyDescent="0.35">
      <c r="A114" t="s">
        <v>13</v>
      </c>
      <c r="B114" s="19">
        <v>7</v>
      </c>
      <c r="C114" s="19" t="s">
        <v>125</v>
      </c>
      <c r="D114" s="19">
        <v>2</v>
      </c>
      <c r="E114" s="19" t="s">
        <v>125</v>
      </c>
      <c r="F114">
        <f>302+248</f>
        <v>550</v>
      </c>
      <c r="G114" s="2">
        <v>19.298999999999999</v>
      </c>
      <c r="H114" s="4" t="s">
        <v>62</v>
      </c>
      <c r="I114" s="4" t="s">
        <v>82</v>
      </c>
      <c r="J114" s="19">
        <v>7</v>
      </c>
      <c r="K114" s="21">
        <v>6</v>
      </c>
      <c r="L114">
        <v>50.2</v>
      </c>
      <c r="M114">
        <v>3.65</v>
      </c>
      <c r="N114">
        <v>32.549999999999997</v>
      </c>
      <c r="O114">
        <f t="shared" si="4"/>
        <v>13.600000000000001</v>
      </c>
      <c r="P114">
        <f t="shared" si="5"/>
        <v>58.101851851851848</v>
      </c>
      <c r="Q114">
        <f t="shared" si="6"/>
        <v>4.2245370370370363</v>
      </c>
      <c r="R114">
        <f t="shared" si="7"/>
        <v>37.673611111111107</v>
      </c>
      <c r="S114" s="14">
        <v>1.080960912622752</v>
      </c>
      <c r="T114" s="14">
        <v>0.15503903200235153</v>
      </c>
      <c r="U114" s="14">
        <v>2.0082143528009579</v>
      </c>
      <c r="V114" s="14">
        <v>0.2583782224920555</v>
      </c>
      <c r="W114" s="14">
        <v>3.9696650202254791E-3</v>
      </c>
      <c r="X114" s="14">
        <v>3.5065621849383426</v>
      </c>
      <c r="Y114" s="4">
        <v>65.631660306636206</v>
      </c>
      <c r="Z114">
        <v>63.687499999999986</v>
      </c>
      <c r="AA114">
        <v>0.15200000000000102</v>
      </c>
      <c r="AB114">
        <v>4.9079754601227297</v>
      </c>
      <c r="AC114" t="s">
        <v>85</v>
      </c>
      <c r="AD114" t="s">
        <v>85</v>
      </c>
    </row>
    <row r="115" spans="1:35" x14ac:dyDescent="0.35">
      <c r="A115" t="s">
        <v>13</v>
      </c>
      <c r="B115" s="19">
        <v>8</v>
      </c>
      <c r="C115" s="19" t="s">
        <v>125</v>
      </c>
      <c r="D115" s="19">
        <v>2</v>
      </c>
      <c r="E115" s="19" t="s">
        <v>125</v>
      </c>
      <c r="F115">
        <f>346+255</f>
        <v>601</v>
      </c>
      <c r="G115" s="2">
        <v>11.678000000000001</v>
      </c>
      <c r="H115" s="4" t="s">
        <v>62</v>
      </c>
      <c r="I115" s="4" t="s">
        <v>82</v>
      </c>
      <c r="J115" s="19">
        <v>8</v>
      </c>
      <c r="K115" s="21">
        <v>6</v>
      </c>
      <c r="L115">
        <v>50.2</v>
      </c>
      <c r="M115">
        <v>3.65</v>
      </c>
      <c r="N115">
        <v>32.549999999999997</v>
      </c>
      <c r="O115">
        <f t="shared" si="4"/>
        <v>13.600000000000001</v>
      </c>
      <c r="P115">
        <f t="shared" si="5"/>
        <v>58.101851851851848</v>
      </c>
      <c r="Q115">
        <f t="shared" si="6"/>
        <v>4.2245370370370363</v>
      </c>
      <c r="R115">
        <f t="shared" si="7"/>
        <v>37.673611111111107</v>
      </c>
      <c r="S115" s="14">
        <v>0.59321919291463188</v>
      </c>
      <c r="T115" s="14">
        <v>0.17277045454361675</v>
      </c>
      <c r="U115" s="14">
        <v>2.314130805735942</v>
      </c>
      <c r="V115" s="14">
        <v>0.27159834366241259</v>
      </c>
      <c r="W115" s="14">
        <v>7.6406768968669573E-3</v>
      </c>
      <c r="X115" s="14">
        <v>3.3593594737534702</v>
      </c>
      <c r="Y115" s="4">
        <v>46.088474147797776</v>
      </c>
      <c r="Z115">
        <v>67.874999999999986</v>
      </c>
      <c r="AA115">
        <v>0.12900000000000045</v>
      </c>
      <c r="AB115">
        <v>6.0308555399719692</v>
      </c>
      <c r="AC115" t="s">
        <v>85</v>
      </c>
      <c r="AD115" t="s">
        <v>85</v>
      </c>
    </row>
    <row r="116" spans="1:35" x14ac:dyDescent="0.35">
      <c r="A116" t="s">
        <v>13</v>
      </c>
      <c r="B116" s="19">
        <v>9</v>
      </c>
      <c r="C116" s="19" t="s">
        <v>124</v>
      </c>
      <c r="D116" s="19">
        <v>1</v>
      </c>
      <c r="F116">
        <v>223</v>
      </c>
      <c r="G116">
        <v>3.4529999999999998</v>
      </c>
      <c r="H116" s="4" t="s">
        <v>62</v>
      </c>
      <c r="I116" s="4" t="s">
        <v>82</v>
      </c>
      <c r="J116" s="19">
        <v>1</v>
      </c>
      <c r="K116" s="21">
        <v>6</v>
      </c>
      <c r="L116">
        <v>50.2</v>
      </c>
      <c r="M116">
        <v>3.65</v>
      </c>
      <c r="N116">
        <v>32.549999999999997</v>
      </c>
      <c r="O116">
        <f t="shared" si="4"/>
        <v>13.600000000000001</v>
      </c>
      <c r="P116">
        <f t="shared" si="5"/>
        <v>58.101851851851848</v>
      </c>
      <c r="Q116">
        <f t="shared" si="6"/>
        <v>4.2245370370370363</v>
      </c>
      <c r="R116">
        <f t="shared" si="7"/>
        <v>37.673611111111107</v>
      </c>
      <c r="S116" s="14"/>
      <c r="T116" s="14"/>
      <c r="U116" s="14"/>
      <c r="V116" s="14"/>
      <c r="W116" s="14"/>
      <c r="X116" s="14"/>
      <c r="AC116" t="s">
        <v>87</v>
      </c>
      <c r="AD116" t="s">
        <v>87</v>
      </c>
    </row>
    <row r="117" spans="1:35" x14ac:dyDescent="0.35">
      <c r="A117" t="s">
        <v>13</v>
      </c>
      <c r="B117" s="19">
        <v>10</v>
      </c>
      <c r="C117" s="19" t="s">
        <v>124</v>
      </c>
      <c r="D117" s="19">
        <v>1</v>
      </c>
      <c r="F117">
        <v>193</v>
      </c>
      <c r="G117">
        <v>6.0679999999999996</v>
      </c>
      <c r="H117" s="4" t="s">
        <v>62</v>
      </c>
      <c r="I117" s="4" t="s">
        <v>82</v>
      </c>
      <c r="J117" s="19">
        <v>2</v>
      </c>
      <c r="K117" s="21">
        <v>6</v>
      </c>
      <c r="L117">
        <v>50.2</v>
      </c>
      <c r="M117">
        <v>3.65</v>
      </c>
      <c r="N117">
        <v>32.549999999999997</v>
      </c>
      <c r="O117">
        <f t="shared" si="4"/>
        <v>13.600000000000001</v>
      </c>
      <c r="P117">
        <f t="shared" si="5"/>
        <v>58.101851851851848</v>
      </c>
      <c r="Q117">
        <f t="shared" si="6"/>
        <v>4.2245370370370363</v>
      </c>
      <c r="R117">
        <f t="shared" si="7"/>
        <v>37.673611111111107</v>
      </c>
      <c r="S117" s="14"/>
      <c r="T117" s="14"/>
      <c r="U117" s="14"/>
      <c r="V117" s="14"/>
      <c r="W117" s="14"/>
      <c r="X117" s="14"/>
      <c r="AC117" t="s">
        <v>87</v>
      </c>
      <c r="AD117" t="s">
        <v>87</v>
      </c>
      <c r="AH117" s="5"/>
      <c r="AI117" s="6"/>
    </row>
    <row r="118" spans="1:35" x14ac:dyDescent="0.35">
      <c r="A118" t="s">
        <v>18</v>
      </c>
      <c r="B118" s="19">
        <v>1</v>
      </c>
      <c r="C118" s="19" t="s">
        <v>125</v>
      </c>
      <c r="D118" s="19">
        <v>2</v>
      </c>
      <c r="E118" s="19" t="s">
        <v>125</v>
      </c>
      <c r="F118">
        <v>280</v>
      </c>
      <c r="G118" s="2">
        <v>6.9649999999999999</v>
      </c>
      <c r="H118" s="4" t="s">
        <v>62</v>
      </c>
      <c r="I118" s="4" t="s">
        <v>82</v>
      </c>
      <c r="J118" s="19">
        <v>1</v>
      </c>
      <c r="K118" s="21">
        <v>6</v>
      </c>
      <c r="L118">
        <v>9.5333333333333332</v>
      </c>
      <c r="M118">
        <v>46.199999999999996</v>
      </c>
      <c r="N118">
        <v>8.0666666666666664</v>
      </c>
      <c r="O118">
        <f t="shared" si="4"/>
        <v>36.200000000000003</v>
      </c>
      <c r="P118">
        <f t="shared" si="5"/>
        <v>14.942528735632186</v>
      </c>
      <c r="Q118">
        <f t="shared" si="6"/>
        <v>72.41379310344827</v>
      </c>
      <c r="R118">
        <f t="shared" si="7"/>
        <v>12.643678160919542</v>
      </c>
      <c r="S118" s="14">
        <v>12.931393959218418</v>
      </c>
      <c r="T118" s="14">
        <v>0.20792794171276988</v>
      </c>
      <c r="U118" s="14">
        <v>2.8097790059562433</v>
      </c>
      <c r="V118" s="14">
        <v>0.15543945271332207</v>
      </c>
      <c r="W118" s="14">
        <v>9.1743723017327344E-3</v>
      </c>
      <c r="X118" s="14">
        <v>16.113714731902483</v>
      </c>
      <c r="Y118" s="4">
        <v>181.51402138176061</v>
      </c>
      <c r="Z118">
        <v>47.3125</v>
      </c>
      <c r="AA118">
        <v>6.2999999999998835E-2</v>
      </c>
      <c r="AB118">
        <v>2.959135744480923</v>
      </c>
      <c r="AC118" t="s">
        <v>85</v>
      </c>
      <c r="AD118" t="s">
        <v>85</v>
      </c>
      <c r="AH118" s="3"/>
      <c r="AI118" s="3"/>
    </row>
    <row r="119" spans="1:35" x14ac:dyDescent="0.35">
      <c r="A119" t="s">
        <v>18</v>
      </c>
      <c r="B119" s="19">
        <v>2</v>
      </c>
      <c r="C119" s="19" t="s">
        <v>125</v>
      </c>
      <c r="D119" s="19">
        <v>2</v>
      </c>
      <c r="E119" s="19" t="s">
        <v>125</v>
      </c>
      <c r="F119">
        <v>337</v>
      </c>
      <c r="G119" s="2">
        <v>4.1059999999999999</v>
      </c>
      <c r="H119" s="4" t="s">
        <v>62</v>
      </c>
      <c r="I119" s="4" t="s">
        <v>82</v>
      </c>
      <c r="J119" s="19">
        <v>2</v>
      </c>
      <c r="K119" s="21">
        <v>6</v>
      </c>
      <c r="L119">
        <v>9.5333333333333332</v>
      </c>
      <c r="M119">
        <v>46.199999999999996</v>
      </c>
      <c r="N119">
        <v>8.0666666666666664</v>
      </c>
      <c r="O119">
        <f t="shared" si="4"/>
        <v>36.200000000000003</v>
      </c>
      <c r="P119">
        <f t="shared" si="5"/>
        <v>14.942528735632186</v>
      </c>
      <c r="Q119">
        <f t="shared" si="6"/>
        <v>72.41379310344827</v>
      </c>
      <c r="R119">
        <f t="shared" si="7"/>
        <v>12.643678160919542</v>
      </c>
      <c r="AC119" t="s">
        <v>85</v>
      </c>
      <c r="AD119" t="s">
        <v>85</v>
      </c>
    </row>
    <row r="120" spans="1:35" x14ac:dyDescent="0.35">
      <c r="A120" t="s">
        <v>18</v>
      </c>
      <c r="B120" s="19">
        <v>3</v>
      </c>
      <c r="C120" s="19" t="s">
        <v>125</v>
      </c>
      <c r="D120" s="19">
        <v>2</v>
      </c>
      <c r="E120" s="19" t="s">
        <v>125</v>
      </c>
      <c r="F120">
        <v>291</v>
      </c>
      <c r="G120" s="2">
        <v>5.7720000000000002</v>
      </c>
      <c r="H120" s="4" t="s">
        <v>62</v>
      </c>
      <c r="I120" s="4" t="s">
        <v>82</v>
      </c>
      <c r="J120" s="19">
        <v>3</v>
      </c>
      <c r="K120" s="21">
        <v>6</v>
      </c>
      <c r="L120">
        <v>9.5333333333333332</v>
      </c>
      <c r="M120">
        <v>46.199999999999996</v>
      </c>
      <c r="N120">
        <v>8.0666666666666664</v>
      </c>
      <c r="O120">
        <f t="shared" si="4"/>
        <v>36.200000000000003</v>
      </c>
      <c r="P120">
        <f t="shared" si="5"/>
        <v>14.942528735632186</v>
      </c>
      <c r="Q120">
        <f t="shared" si="6"/>
        <v>72.41379310344827</v>
      </c>
      <c r="R120">
        <f t="shared" si="7"/>
        <v>12.643678160919542</v>
      </c>
      <c r="S120" s="14">
        <v>13.674829489689028</v>
      </c>
      <c r="T120" s="14">
        <v>0.10548170279727645</v>
      </c>
      <c r="U120" s="14">
        <v>3.3452842798106071</v>
      </c>
      <c r="V120" s="14">
        <v>7.5001638271232893E-2</v>
      </c>
      <c r="W120" s="14">
        <v>8.4624595198108096E-2</v>
      </c>
      <c r="X120" s="14">
        <v>17.285221705766251</v>
      </c>
      <c r="Y120" s="4">
        <v>167.88354333198021</v>
      </c>
      <c r="Z120">
        <v>49.4375</v>
      </c>
      <c r="AA120">
        <v>9.3999999999999417E-2</v>
      </c>
      <c r="AB120">
        <v>5.8971141781680965</v>
      </c>
      <c r="AC120" t="s">
        <v>85</v>
      </c>
      <c r="AD120" t="s">
        <v>85</v>
      </c>
    </row>
    <row r="121" spans="1:35" x14ac:dyDescent="0.35">
      <c r="A121" t="s">
        <v>18</v>
      </c>
      <c r="B121" s="19">
        <v>4</v>
      </c>
      <c r="C121" s="19" t="s">
        <v>125</v>
      </c>
      <c r="D121" s="19">
        <v>2</v>
      </c>
      <c r="E121" s="19" t="s">
        <v>125</v>
      </c>
      <c r="F121">
        <v>306</v>
      </c>
      <c r="G121" s="2">
        <v>2.5299999999999998</v>
      </c>
      <c r="H121" s="4" t="s">
        <v>62</v>
      </c>
      <c r="I121" s="4" t="s">
        <v>82</v>
      </c>
      <c r="J121" s="19">
        <v>4</v>
      </c>
      <c r="K121" s="21">
        <v>6</v>
      </c>
      <c r="L121">
        <v>9.5333333333333332</v>
      </c>
      <c r="M121">
        <v>46.199999999999996</v>
      </c>
      <c r="N121">
        <v>8.0666666666666664</v>
      </c>
      <c r="O121">
        <f t="shared" si="4"/>
        <v>36.200000000000003</v>
      </c>
      <c r="P121">
        <f t="shared" si="5"/>
        <v>14.942528735632186</v>
      </c>
      <c r="Q121">
        <f t="shared" si="6"/>
        <v>72.41379310344827</v>
      </c>
      <c r="R121">
        <f t="shared" si="7"/>
        <v>12.643678160919542</v>
      </c>
      <c r="AC121" t="s">
        <v>85</v>
      </c>
      <c r="AD121" t="s">
        <v>85</v>
      </c>
      <c r="AE121" t="s">
        <v>85</v>
      </c>
    </row>
    <row r="122" spans="1:35" x14ac:dyDescent="0.35">
      <c r="A122" t="s">
        <v>18</v>
      </c>
      <c r="B122" s="19">
        <v>5</v>
      </c>
      <c r="C122" s="19" t="s">
        <v>125</v>
      </c>
      <c r="D122" s="19">
        <v>2</v>
      </c>
      <c r="E122" s="19" t="s">
        <v>125</v>
      </c>
      <c r="F122">
        <v>367</v>
      </c>
      <c r="G122" s="2">
        <v>4.077</v>
      </c>
      <c r="H122" s="4" t="s">
        <v>62</v>
      </c>
      <c r="I122" s="4" t="s">
        <v>82</v>
      </c>
      <c r="J122" s="19">
        <v>5</v>
      </c>
      <c r="K122" s="21">
        <v>6</v>
      </c>
      <c r="L122">
        <v>9.5333333333333332</v>
      </c>
      <c r="M122">
        <v>46.199999999999996</v>
      </c>
      <c r="N122">
        <v>8.0666666666666664</v>
      </c>
      <c r="O122">
        <f t="shared" si="4"/>
        <v>36.200000000000003</v>
      </c>
      <c r="P122">
        <f t="shared" si="5"/>
        <v>14.942528735632186</v>
      </c>
      <c r="Q122">
        <f t="shared" si="6"/>
        <v>72.41379310344827</v>
      </c>
      <c r="R122">
        <f t="shared" si="7"/>
        <v>12.643678160919542</v>
      </c>
      <c r="S122" s="14">
        <v>11.397948885004718</v>
      </c>
      <c r="T122" s="14">
        <v>0.1405934123569707</v>
      </c>
      <c r="U122" s="14">
        <v>2.5991518311530166</v>
      </c>
      <c r="V122" s="14">
        <v>0.11425468188591953</v>
      </c>
      <c r="W122" s="14">
        <v>1.2646672074958027E-2</v>
      </c>
      <c r="X122" s="14">
        <v>14.264595482475583</v>
      </c>
      <c r="Y122" s="4">
        <v>141.166382525323</v>
      </c>
      <c r="Z122">
        <v>55.1875</v>
      </c>
      <c r="AA122">
        <v>0.11000000000000032</v>
      </c>
      <c r="AB122">
        <v>6.5671641791044966</v>
      </c>
      <c r="AC122" t="s">
        <v>85</v>
      </c>
      <c r="AD122" t="s">
        <v>85</v>
      </c>
    </row>
    <row r="123" spans="1:35" x14ac:dyDescent="0.35">
      <c r="A123" t="s">
        <v>18</v>
      </c>
      <c r="B123" s="19">
        <v>6</v>
      </c>
      <c r="C123" s="19" t="s">
        <v>125</v>
      </c>
      <c r="D123" s="19">
        <v>2</v>
      </c>
      <c r="E123" s="19" t="s">
        <v>125</v>
      </c>
      <c r="F123">
        <v>256</v>
      </c>
      <c r="G123" s="2">
        <v>4.9249999999999998</v>
      </c>
      <c r="H123" s="4" t="s">
        <v>62</v>
      </c>
      <c r="I123" s="4" t="s">
        <v>82</v>
      </c>
      <c r="J123" s="19">
        <v>6</v>
      </c>
      <c r="K123" s="21">
        <v>6</v>
      </c>
      <c r="L123">
        <v>9.5333333333333332</v>
      </c>
      <c r="M123">
        <v>46.199999999999996</v>
      </c>
      <c r="N123">
        <v>8.0666666666666664</v>
      </c>
      <c r="O123">
        <f t="shared" si="4"/>
        <v>36.200000000000003</v>
      </c>
      <c r="P123">
        <f t="shared" si="5"/>
        <v>14.942528735632186</v>
      </c>
      <c r="Q123">
        <f t="shared" si="6"/>
        <v>72.41379310344827</v>
      </c>
      <c r="R123">
        <f t="shared" si="7"/>
        <v>12.643678160919542</v>
      </c>
      <c r="S123" s="14">
        <v>16.09784305541255</v>
      </c>
      <c r="T123" s="14">
        <v>0.1225565741647245</v>
      </c>
      <c r="U123" s="14">
        <v>2.4634161277646123</v>
      </c>
      <c r="V123" s="14">
        <v>9.5611996158535842E-2</v>
      </c>
      <c r="W123" s="14">
        <v>4.9371752392831109E-3</v>
      </c>
      <c r="X123" s="14">
        <v>18.784364928739709</v>
      </c>
      <c r="Y123" s="4">
        <v>168.79082230879391</v>
      </c>
      <c r="Z123">
        <v>49.6875</v>
      </c>
      <c r="AA123">
        <v>0.12000000000000099</v>
      </c>
      <c r="AB123">
        <v>7.005253940455396</v>
      </c>
      <c r="AC123" t="s">
        <v>85</v>
      </c>
      <c r="AD123" t="s">
        <v>85</v>
      </c>
    </row>
    <row r="124" spans="1:35" x14ac:dyDescent="0.35">
      <c r="A124" t="s">
        <v>18</v>
      </c>
      <c r="B124" s="19">
        <v>7</v>
      </c>
      <c r="C124" s="19" t="s">
        <v>125</v>
      </c>
      <c r="D124" s="19">
        <v>2</v>
      </c>
      <c r="E124" s="19" t="s">
        <v>125</v>
      </c>
      <c r="F124">
        <v>449</v>
      </c>
      <c r="G124" s="2">
        <v>7.5220000000000002</v>
      </c>
      <c r="H124" s="4" t="s">
        <v>62</v>
      </c>
      <c r="I124" s="4" t="s">
        <v>82</v>
      </c>
      <c r="J124" s="19">
        <v>7</v>
      </c>
      <c r="K124" s="21">
        <v>6</v>
      </c>
      <c r="L124">
        <v>9.5333333333333332</v>
      </c>
      <c r="M124">
        <v>46.199999999999996</v>
      </c>
      <c r="N124">
        <v>8.0666666666666664</v>
      </c>
      <c r="O124">
        <f t="shared" si="4"/>
        <v>36.200000000000003</v>
      </c>
      <c r="P124">
        <f t="shared" si="5"/>
        <v>14.942528735632186</v>
      </c>
      <c r="Q124">
        <f t="shared" si="6"/>
        <v>72.41379310344827</v>
      </c>
      <c r="R124">
        <f t="shared" si="7"/>
        <v>12.643678160919542</v>
      </c>
      <c r="S124" s="14">
        <v>19.193203129653305</v>
      </c>
      <c r="T124" s="14">
        <v>0.11909797492027632</v>
      </c>
      <c r="U124" s="14">
        <v>2.2941391549144825</v>
      </c>
      <c r="V124" s="14">
        <v>9.0360984646029416E-2</v>
      </c>
      <c r="W124" s="14">
        <v>4.657082564106311E-3</v>
      </c>
      <c r="X124" s="14">
        <v>21.701458326698198</v>
      </c>
      <c r="Y124" s="4">
        <v>189.87697570645662</v>
      </c>
      <c r="Z124">
        <v>44.937500000000007</v>
      </c>
      <c r="AA124">
        <v>0.13000000000000078</v>
      </c>
      <c r="AB124">
        <v>6.2741312741313084</v>
      </c>
      <c r="AC124" t="s">
        <v>85</v>
      </c>
      <c r="AD124" t="s">
        <v>85</v>
      </c>
    </row>
    <row r="125" spans="1:35" x14ac:dyDescent="0.35">
      <c r="A125" t="s">
        <v>18</v>
      </c>
      <c r="B125" s="19">
        <v>8</v>
      </c>
      <c r="C125" s="19" t="s">
        <v>125</v>
      </c>
      <c r="D125" s="19">
        <v>2</v>
      </c>
      <c r="E125" s="19" t="s">
        <v>125</v>
      </c>
      <c r="F125">
        <v>177</v>
      </c>
      <c r="G125" s="2">
        <v>1.5329999999999999</v>
      </c>
      <c r="H125" s="4" t="s">
        <v>62</v>
      </c>
      <c r="I125" s="4" t="s">
        <v>82</v>
      </c>
      <c r="J125" s="19">
        <v>8</v>
      </c>
      <c r="K125" s="21">
        <v>6</v>
      </c>
      <c r="L125">
        <v>9.5333333333333332</v>
      </c>
      <c r="M125">
        <v>46.199999999999996</v>
      </c>
      <c r="N125">
        <v>8.0666666666666664</v>
      </c>
      <c r="O125">
        <f t="shared" si="4"/>
        <v>36.200000000000003</v>
      </c>
      <c r="P125">
        <f t="shared" si="5"/>
        <v>14.942528735632186</v>
      </c>
      <c r="Q125">
        <f t="shared" si="6"/>
        <v>72.41379310344827</v>
      </c>
      <c r="R125">
        <f t="shared" si="7"/>
        <v>12.643678160919542</v>
      </c>
      <c r="S125" s="14"/>
      <c r="T125" s="14"/>
      <c r="U125" s="14"/>
      <c r="V125" s="14"/>
      <c r="W125" s="14"/>
      <c r="X125" s="14"/>
      <c r="AC125" t="s">
        <v>87</v>
      </c>
      <c r="AD125" t="s">
        <v>87</v>
      </c>
      <c r="AE125" t="s">
        <v>86</v>
      </c>
    </row>
    <row r="126" spans="1:35" x14ac:dyDescent="0.35">
      <c r="A126" t="s">
        <v>18</v>
      </c>
      <c r="B126" s="19">
        <v>9</v>
      </c>
      <c r="C126" s="19" t="s">
        <v>124</v>
      </c>
      <c r="D126" s="19">
        <v>1</v>
      </c>
      <c r="F126">
        <v>104</v>
      </c>
      <c r="G126">
        <v>1.466</v>
      </c>
      <c r="H126" s="4" t="s">
        <v>62</v>
      </c>
      <c r="I126" s="4" t="s">
        <v>82</v>
      </c>
      <c r="J126" s="19">
        <v>1</v>
      </c>
      <c r="K126" s="21">
        <v>6</v>
      </c>
      <c r="L126">
        <v>9.5333333333333332</v>
      </c>
      <c r="M126">
        <v>46.199999999999996</v>
      </c>
      <c r="N126">
        <v>8.0666666666666664</v>
      </c>
      <c r="O126">
        <f t="shared" si="4"/>
        <v>36.200000000000003</v>
      </c>
      <c r="P126">
        <f t="shared" si="5"/>
        <v>14.942528735632186</v>
      </c>
      <c r="Q126">
        <f t="shared" si="6"/>
        <v>72.41379310344827</v>
      </c>
      <c r="R126">
        <f t="shared" si="7"/>
        <v>12.643678160919542</v>
      </c>
      <c r="S126" s="14"/>
      <c r="T126" s="14"/>
      <c r="U126" s="14"/>
      <c r="V126" s="14"/>
      <c r="W126" s="14"/>
      <c r="X126" s="14"/>
      <c r="AC126" t="s">
        <v>87</v>
      </c>
      <c r="AD126" t="s">
        <v>87</v>
      </c>
    </row>
    <row r="127" spans="1:35" x14ac:dyDescent="0.35">
      <c r="A127" t="s">
        <v>18</v>
      </c>
      <c r="B127" s="19">
        <v>10</v>
      </c>
      <c r="C127" s="19" t="s">
        <v>124</v>
      </c>
      <c r="D127" s="19">
        <v>1</v>
      </c>
      <c r="F127">
        <v>63</v>
      </c>
      <c r="G127">
        <v>1.2849999999999999</v>
      </c>
      <c r="H127" s="4" t="s">
        <v>62</v>
      </c>
      <c r="I127" s="4" t="s">
        <v>82</v>
      </c>
      <c r="J127" s="19">
        <v>2</v>
      </c>
      <c r="K127" s="21">
        <v>6</v>
      </c>
      <c r="L127">
        <v>9.5333333333333332</v>
      </c>
      <c r="M127">
        <v>46.199999999999996</v>
      </c>
      <c r="N127">
        <v>8.0666666666666664</v>
      </c>
      <c r="O127">
        <f t="shared" si="4"/>
        <v>36.200000000000003</v>
      </c>
      <c r="P127">
        <f t="shared" si="5"/>
        <v>14.942528735632186</v>
      </c>
      <c r="Q127">
        <f t="shared" si="6"/>
        <v>72.41379310344827</v>
      </c>
      <c r="R127">
        <f t="shared" si="7"/>
        <v>12.643678160919542</v>
      </c>
      <c r="S127" s="14"/>
      <c r="T127" s="14"/>
      <c r="U127" s="14"/>
      <c r="V127" s="14"/>
      <c r="W127" s="14"/>
      <c r="X127" s="14"/>
      <c r="AC127" t="s">
        <v>87</v>
      </c>
      <c r="AD127" t="s">
        <v>87</v>
      </c>
      <c r="AH127" s="5"/>
      <c r="AI127" s="6"/>
    </row>
    <row r="128" spans="1:35" x14ac:dyDescent="0.35">
      <c r="A128" t="s">
        <v>147</v>
      </c>
      <c r="B128" s="19">
        <v>1</v>
      </c>
      <c r="C128" s="19" t="s">
        <v>125</v>
      </c>
      <c r="D128" s="19">
        <v>2</v>
      </c>
      <c r="E128" s="19" t="s">
        <v>125</v>
      </c>
      <c r="F128">
        <v>353</v>
      </c>
      <c r="G128" s="2">
        <v>6.88</v>
      </c>
      <c r="H128" s="4" t="s">
        <v>62</v>
      </c>
      <c r="I128" s="4" t="s">
        <v>82</v>
      </c>
      <c r="J128" s="19">
        <v>1</v>
      </c>
      <c r="K128" s="21">
        <v>6</v>
      </c>
      <c r="L128">
        <v>38.199999999999996</v>
      </c>
      <c r="M128">
        <v>15.633333333333333</v>
      </c>
      <c r="N128">
        <v>10.766666666666666</v>
      </c>
      <c r="O128">
        <f t="shared" si="4"/>
        <v>35.400000000000006</v>
      </c>
      <c r="P128">
        <f t="shared" si="5"/>
        <v>59.133126934984517</v>
      </c>
      <c r="Q128">
        <f t="shared" si="6"/>
        <v>24.200206398348815</v>
      </c>
      <c r="R128">
        <f t="shared" si="7"/>
        <v>16.666666666666664</v>
      </c>
      <c r="AC128" t="s">
        <v>85</v>
      </c>
      <c r="AD128" t="s">
        <v>85</v>
      </c>
      <c r="AH128" s="3"/>
      <c r="AI128" s="3"/>
    </row>
    <row r="129" spans="1:35" x14ac:dyDescent="0.35">
      <c r="A129" t="s">
        <v>147</v>
      </c>
      <c r="B129" s="19">
        <v>2</v>
      </c>
      <c r="C129" s="19" t="s">
        <v>125</v>
      </c>
      <c r="D129" s="19">
        <v>2</v>
      </c>
      <c r="E129" s="19" t="s">
        <v>125</v>
      </c>
      <c r="F129">
        <f>338+155</f>
        <v>493</v>
      </c>
      <c r="G129" s="2">
        <v>9.5960000000000001</v>
      </c>
      <c r="H129" s="4" t="s">
        <v>62</v>
      </c>
      <c r="I129" s="4" t="s">
        <v>82</v>
      </c>
      <c r="J129" s="19">
        <v>2</v>
      </c>
      <c r="K129" s="21">
        <v>6</v>
      </c>
      <c r="L129">
        <v>38.199999999999996</v>
      </c>
      <c r="M129">
        <v>15.633333333333333</v>
      </c>
      <c r="N129">
        <v>10.766666666666666</v>
      </c>
      <c r="O129">
        <f t="shared" si="4"/>
        <v>35.400000000000006</v>
      </c>
      <c r="P129">
        <f t="shared" si="5"/>
        <v>59.133126934984517</v>
      </c>
      <c r="Q129">
        <f t="shared" si="6"/>
        <v>24.200206398348815</v>
      </c>
      <c r="R129">
        <f t="shared" si="7"/>
        <v>16.666666666666664</v>
      </c>
      <c r="S129" s="14">
        <v>0.52998911094105816</v>
      </c>
      <c r="T129" s="14">
        <v>0.11450427849796146</v>
      </c>
      <c r="U129" s="14">
        <v>2.3118004792302624</v>
      </c>
      <c r="V129" s="14">
        <v>0.24663563166258617</v>
      </c>
      <c r="W129" s="14">
        <v>1.6157983705779793E-2</v>
      </c>
      <c r="X129" s="14">
        <v>3.2190874840376478</v>
      </c>
      <c r="Y129" s="4">
        <v>33.918089386310086</v>
      </c>
      <c r="Z129">
        <v>73.624999999999986</v>
      </c>
      <c r="AA129">
        <v>0.15799999999999947</v>
      </c>
      <c r="AB129">
        <v>7.6848249027237134</v>
      </c>
      <c r="AC129" t="s">
        <v>85</v>
      </c>
      <c r="AD129" t="s">
        <v>85</v>
      </c>
    </row>
    <row r="130" spans="1:35" x14ac:dyDescent="0.35">
      <c r="A130" t="s">
        <v>147</v>
      </c>
      <c r="B130" s="19">
        <v>3</v>
      </c>
      <c r="C130" s="19" t="s">
        <v>125</v>
      </c>
      <c r="D130" s="19">
        <v>2</v>
      </c>
      <c r="E130" s="19" t="s">
        <v>125</v>
      </c>
      <c r="F130">
        <f>233+222</f>
        <v>455</v>
      </c>
      <c r="G130" s="2">
        <v>8.7490000000000006</v>
      </c>
      <c r="H130" s="4" t="s">
        <v>62</v>
      </c>
      <c r="I130" s="4" t="s">
        <v>82</v>
      </c>
      <c r="J130" s="19">
        <v>3</v>
      </c>
      <c r="K130" s="21">
        <v>6</v>
      </c>
      <c r="L130">
        <v>38.199999999999996</v>
      </c>
      <c r="M130">
        <v>15.633333333333333</v>
      </c>
      <c r="N130">
        <v>10.766666666666666</v>
      </c>
      <c r="O130">
        <f t="shared" ref="O130:O172" si="8">100-L130-M130-N130</f>
        <v>35.400000000000006</v>
      </c>
      <c r="P130">
        <f t="shared" ref="P130:P172" si="9">(L130/(SUM(L130:N130))*100)</f>
        <v>59.133126934984517</v>
      </c>
      <c r="Q130">
        <f t="shared" ref="Q130:Q172" si="10">(M130/(SUM(L130:N130))*100)</f>
        <v>24.200206398348815</v>
      </c>
      <c r="R130">
        <f t="shared" ref="R130:R172" si="11">(N130/(SUM(L130:N130))*100)</f>
        <v>16.666666666666664</v>
      </c>
      <c r="S130" s="14">
        <v>1.1422043301980624</v>
      </c>
      <c r="T130" s="14">
        <v>0.17533168719423792</v>
      </c>
      <c r="U130" s="14">
        <v>2.298249400044158</v>
      </c>
      <c r="V130" s="14">
        <v>0.21264293529725231</v>
      </c>
      <c r="W130" s="14">
        <v>1.0974400263677204E-2</v>
      </c>
      <c r="X130" s="14">
        <v>3.8394027529973882</v>
      </c>
      <c r="Y130" s="4">
        <v>65.310424832102015</v>
      </c>
      <c r="Z130">
        <v>67.1875</v>
      </c>
      <c r="AA130">
        <v>9.9000000000000199E-2</v>
      </c>
      <c r="AB130">
        <v>5.263157894736854</v>
      </c>
      <c r="AC130" t="s">
        <v>85</v>
      </c>
      <c r="AD130" t="s">
        <v>85</v>
      </c>
    </row>
    <row r="131" spans="1:35" x14ac:dyDescent="0.35">
      <c r="A131" t="s">
        <v>147</v>
      </c>
      <c r="B131" s="19">
        <v>4</v>
      </c>
      <c r="C131" s="19" t="s">
        <v>125</v>
      </c>
      <c r="D131" s="19">
        <v>2</v>
      </c>
      <c r="E131" s="19" t="s">
        <v>125</v>
      </c>
      <c r="F131">
        <f>230+134</f>
        <v>364</v>
      </c>
      <c r="G131" s="2">
        <v>6.6189999999999998</v>
      </c>
      <c r="H131" s="4" t="s">
        <v>62</v>
      </c>
      <c r="I131" s="4" t="s">
        <v>82</v>
      </c>
      <c r="J131" s="19">
        <v>4</v>
      </c>
      <c r="K131" s="21">
        <v>6</v>
      </c>
      <c r="L131">
        <v>38.199999999999996</v>
      </c>
      <c r="M131">
        <v>15.633333333333333</v>
      </c>
      <c r="N131">
        <v>10.766666666666666</v>
      </c>
      <c r="O131">
        <f t="shared" si="8"/>
        <v>35.400000000000006</v>
      </c>
      <c r="P131">
        <f t="shared" si="9"/>
        <v>59.133126934984517</v>
      </c>
      <c r="Q131">
        <f t="shared" si="10"/>
        <v>24.200206398348815</v>
      </c>
      <c r="R131">
        <f t="shared" si="11"/>
        <v>16.666666666666664</v>
      </c>
      <c r="AC131" t="s">
        <v>85</v>
      </c>
      <c r="AD131" t="s">
        <v>85</v>
      </c>
    </row>
    <row r="132" spans="1:35" x14ac:dyDescent="0.35">
      <c r="A132" t="s">
        <v>147</v>
      </c>
      <c r="B132" s="19">
        <v>5</v>
      </c>
      <c r="C132" s="19" t="s">
        <v>125</v>
      </c>
      <c r="D132" s="19">
        <v>2</v>
      </c>
      <c r="E132" s="19" t="s">
        <v>125</v>
      </c>
      <c r="F132">
        <f>227+161</f>
        <v>388</v>
      </c>
      <c r="G132" s="2">
        <v>10.547000000000001</v>
      </c>
      <c r="H132" s="4" t="s">
        <v>62</v>
      </c>
      <c r="I132" s="4" t="s">
        <v>82</v>
      </c>
      <c r="J132" s="19">
        <v>5</v>
      </c>
      <c r="K132" s="21">
        <v>6</v>
      </c>
      <c r="L132">
        <v>38.199999999999996</v>
      </c>
      <c r="M132">
        <v>15.633333333333333</v>
      </c>
      <c r="N132">
        <v>10.766666666666666</v>
      </c>
      <c r="O132">
        <f t="shared" si="8"/>
        <v>35.400000000000006</v>
      </c>
      <c r="P132">
        <f t="shared" si="9"/>
        <v>59.133126934984517</v>
      </c>
      <c r="Q132">
        <f t="shared" si="10"/>
        <v>24.200206398348815</v>
      </c>
      <c r="R132">
        <f t="shared" si="11"/>
        <v>16.666666666666664</v>
      </c>
      <c r="S132" s="14">
        <v>1.0596733706994521</v>
      </c>
      <c r="T132" s="14">
        <v>0.18924941540877566</v>
      </c>
      <c r="U132" s="14">
        <v>2.4804168361358672</v>
      </c>
      <c r="V132" s="14">
        <v>0.26861416269239041</v>
      </c>
      <c r="W132" s="14">
        <v>2.2422837438711152E-2</v>
      </c>
      <c r="X132" s="14">
        <v>4.0203766223751964</v>
      </c>
      <c r="Y132" s="4">
        <v>66.161974600889337</v>
      </c>
      <c r="Z132">
        <v>68.0625</v>
      </c>
      <c r="AA132">
        <v>0.13499999999999979</v>
      </c>
      <c r="AB132">
        <v>5.4967426710097644</v>
      </c>
      <c r="AC132" t="s">
        <v>85</v>
      </c>
      <c r="AD132" t="s">
        <v>85</v>
      </c>
    </row>
    <row r="133" spans="1:35" x14ac:dyDescent="0.35">
      <c r="A133" t="s">
        <v>147</v>
      </c>
      <c r="B133" s="19">
        <v>6</v>
      </c>
      <c r="C133" s="19" t="s">
        <v>125</v>
      </c>
      <c r="D133" s="19">
        <v>2</v>
      </c>
      <c r="E133" s="19" t="s">
        <v>125</v>
      </c>
      <c r="F133">
        <f>322+218</f>
        <v>540</v>
      </c>
      <c r="G133" s="2">
        <v>13.577999999999999</v>
      </c>
      <c r="H133" s="4" t="s">
        <v>62</v>
      </c>
      <c r="I133" s="4" t="s">
        <v>82</v>
      </c>
      <c r="J133" s="19">
        <v>6</v>
      </c>
      <c r="K133" s="21">
        <v>6</v>
      </c>
      <c r="L133">
        <v>38.199999999999996</v>
      </c>
      <c r="M133">
        <v>15.633333333333333</v>
      </c>
      <c r="N133">
        <v>10.766666666666666</v>
      </c>
      <c r="O133">
        <f t="shared" si="8"/>
        <v>35.400000000000006</v>
      </c>
      <c r="P133">
        <f t="shared" si="9"/>
        <v>59.133126934984517</v>
      </c>
      <c r="Q133">
        <f t="shared" si="10"/>
        <v>24.200206398348815</v>
      </c>
      <c r="R133">
        <f t="shared" si="11"/>
        <v>16.666666666666664</v>
      </c>
      <c r="S133" s="14">
        <v>1.4580671122202227</v>
      </c>
      <c r="T133" s="14">
        <v>0.15637957967000757</v>
      </c>
      <c r="U133" s="14">
        <v>2.1208671520783318</v>
      </c>
      <c r="V133" s="14">
        <v>0.21078557401597195</v>
      </c>
      <c r="W133" s="14">
        <v>1.673697165745712E-2</v>
      </c>
      <c r="X133" s="14">
        <v>3.9628363896419914</v>
      </c>
      <c r="Y133" s="4">
        <v>84.3340242188129</v>
      </c>
      <c r="Z133">
        <v>64.5</v>
      </c>
      <c r="AA133">
        <v>0.12199999999999989</v>
      </c>
      <c r="AB133">
        <v>5.0791007493755176</v>
      </c>
      <c r="AC133" t="s">
        <v>85</v>
      </c>
      <c r="AD133" t="s">
        <v>85</v>
      </c>
    </row>
    <row r="134" spans="1:35" x14ac:dyDescent="0.35">
      <c r="A134" t="s">
        <v>147</v>
      </c>
      <c r="B134" s="19">
        <v>7</v>
      </c>
      <c r="C134" s="19" t="s">
        <v>125</v>
      </c>
      <c r="D134" s="19">
        <v>2</v>
      </c>
      <c r="E134" s="19" t="s">
        <v>125</v>
      </c>
      <c r="F134">
        <v>362</v>
      </c>
      <c r="G134" s="2">
        <v>9.3350000000000009</v>
      </c>
      <c r="H134" s="4" t="s">
        <v>62</v>
      </c>
      <c r="I134" s="4" t="s">
        <v>82</v>
      </c>
      <c r="J134" s="19">
        <v>7</v>
      </c>
      <c r="K134" s="21">
        <v>6</v>
      </c>
      <c r="L134">
        <v>38.199999999999996</v>
      </c>
      <c r="M134">
        <v>15.633333333333333</v>
      </c>
      <c r="N134">
        <v>10.766666666666666</v>
      </c>
      <c r="O134">
        <f t="shared" si="8"/>
        <v>35.400000000000006</v>
      </c>
      <c r="P134">
        <f t="shared" si="9"/>
        <v>59.133126934984517</v>
      </c>
      <c r="Q134">
        <f t="shared" si="10"/>
        <v>24.200206398348815</v>
      </c>
      <c r="R134">
        <f t="shared" si="11"/>
        <v>16.666666666666664</v>
      </c>
      <c r="S134" s="14">
        <v>0.76818748660181957</v>
      </c>
      <c r="T134" s="14">
        <v>0.19550736773156782</v>
      </c>
      <c r="U134" s="14">
        <v>2.6177402307077609</v>
      </c>
      <c r="V134" s="14">
        <v>0.28914476702488007</v>
      </c>
      <c r="W134" s="14">
        <v>9.5171267515596902E-3</v>
      </c>
      <c r="X134" s="14">
        <v>3.8800969788175879</v>
      </c>
      <c r="Y134" s="4">
        <v>57.247524155900692</v>
      </c>
      <c r="Z134">
        <v>68.5625</v>
      </c>
      <c r="AA134">
        <v>0.10799999999999965</v>
      </c>
      <c r="AB134">
        <v>5.0023158869846975</v>
      </c>
      <c r="AC134" t="s">
        <v>85</v>
      </c>
      <c r="AD134" t="s">
        <v>85</v>
      </c>
      <c r="AE134" t="s">
        <v>85</v>
      </c>
    </row>
    <row r="135" spans="1:35" x14ac:dyDescent="0.35">
      <c r="A135" t="s">
        <v>147</v>
      </c>
      <c r="B135" s="19">
        <v>8</v>
      </c>
      <c r="C135" s="19" t="s">
        <v>125</v>
      </c>
      <c r="D135" s="19">
        <v>2</v>
      </c>
      <c r="E135" s="19" t="s">
        <v>125</v>
      </c>
      <c r="F135">
        <v>427</v>
      </c>
      <c r="G135" s="2">
        <v>8.2870000000000008</v>
      </c>
      <c r="H135" s="4" t="s">
        <v>62</v>
      </c>
      <c r="I135" s="4" t="s">
        <v>82</v>
      </c>
      <c r="J135" s="19">
        <v>8</v>
      </c>
      <c r="K135" s="21">
        <v>6</v>
      </c>
      <c r="L135">
        <v>38.199999999999996</v>
      </c>
      <c r="M135">
        <v>15.633333333333333</v>
      </c>
      <c r="N135">
        <v>10.766666666666666</v>
      </c>
      <c r="O135">
        <f t="shared" si="8"/>
        <v>35.400000000000006</v>
      </c>
      <c r="P135">
        <f t="shared" si="9"/>
        <v>59.133126934984517</v>
      </c>
      <c r="Q135">
        <f t="shared" si="10"/>
        <v>24.200206398348815</v>
      </c>
      <c r="R135">
        <f t="shared" si="11"/>
        <v>16.666666666666664</v>
      </c>
      <c r="S135" s="14"/>
      <c r="T135" s="14"/>
      <c r="U135" s="14"/>
      <c r="V135" s="14"/>
      <c r="W135" s="14"/>
      <c r="X135" s="14"/>
      <c r="AC135" t="s">
        <v>85</v>
      </c>
      <c r="AD135" t="s">
        <v>85</v>
      </c>
    </row>
    <row r="136" spans="1:35" x14ac:dyDescent="0.35">
      <c r="A136" t="s">
        <v>147</v>
      </c>
      <c r="B136" s="19">
        <v>9</v>
      </c>
      <c r="C136" s="19" t="s">
        <v>124</v>
      </c>
      <c r="D136" s="19">
        <v>1</v>
      </c>
      <c r="F136">
        <v>171</v>
      </c>
      <c r="G136">
        <v>3.125</v>
      </c>
      <c r="H136" s="4" t="s">
        <v>62</v>
      </c>
      <c r="I136" s="4" t="s">
        <v>82</v>
      </c>
      <c r="J136" s="19">
        <v>1</v>
      </c>
      <c r="K136" s="21">
        <v>6</v>
      </c>
      <c r="L136">
        <v>38.199999999999996</v>
      </c>
      <c r="M136">
        <v>15.633333333333333</v>
      </c>
      <c r="N136">
        <v>10.766666666666666</v>
      </c>
      <c r="O136">
        <f t="shared" si="8"/>
        <v>35.400000000000006</v>
      </c>
      <c r="P136">
        <f t="shared" si="9"/>
        <v>59.133126934984517</v>
      </c>
      <c r="Q136">
        <f t="shared" si="10"/>
        <v>24.200206398348815</v>
      </c>
      <c r="R136">
        <f t="shared" si="11"/>
        <v>16.666666666666664</v>
      </c>
      <c r="S136" s="14"/>
      <c r="T136" s="14"/>
      <c r="U136" s="14"/>
      <c r="V136" s="14"/>
      <c r="W136" s="14"/>
      <c r="X136" s="14"/>
      <c r="AC136" t="s">
        <v>87</v>
      </c>
      <c r="AD136" t="s">
        <v>87</v>
      </c>
    </row>
    <row r="137" spans="1:35" x14ac:dyDescent="0.35">
      <c r="A137" t="s">
        <v>147</v>
      </c>
      <c r="B137" s="19">
        <v>10</v>
      </c>
      <c r="C137" s="19" t="s">
        <v>124</v>
      </c>
      <c r="D137" s="19">
        <v>1</v>
      </c>
      <c r="F137">
        <v>137</v>
      </c>
      <c r="G137">
        <v>2.0459999999999998</v>
      </c>
      <c r="H137" s="4" t="s">
        <v>62</v>
      </c>
      <c r="I137" s="4" t="s">
        <v>82</v>
      </c>
      <c r="J137" s="19">
        <v>2</v>
      </c>
      <c r="K137" s="21">
        <v>6</v>
      </c>
      <c r="L137">
        <v>38.199999999999996</v>
      </c>
      <c r="M137">
        <v>15.633333333333333</v>
      </c>
      <c r="N137">
        <v>10.766666666666666</v>
      </c>
      <c r="O137">
        <f t="shared" si="8"/>
        <v>35.400000000000006</v>
      </c>
      <c r="P137">
        <f t="shared" si="9"/>
        <v>59.133126934984517</v>
      </c>
      <c r="Q137">
        <f t="shared" si="10"/>
        <v>24.200206398348815</v>
      </c>
      <c r="R137">
        <f t="shared" si="11"/>
        <v>16.666666666666664</v>
      </c>
      <c r="S137" s="14"/>
      <c r="T137" s="14"/>
      <c r="U137" s="14"/>
      <c r="V137" s="14"/>
      <c r="W137" s="14"/>
      <c r="X137" s="14"/>
      <c r="AC137" t="s">
        <v>87</v>
      </c>
      <c r="AD137" t="s">
        <v>87</v>
      </c>
      <c r="AH137" s="5"/>
      <c r="AI137" s="6"/>
    </row>
    <row r="138" spans="1:35" x14ac:dyDescent="0.35">
      <c r="A138" t="s">
        <v>148</v>
      </c>
      <c r="B138" s="19">
        <v>1</v>
      </c>
      <c r="C138" s="19" t="s">
        <v>125</v>
      </c>
      <c r="D138" s="19">
        <v>2</v>
      </c>
      <c r="E138" s="19" t="s">
        <v>125</v>
      </c>
      <c r="F138">
        <v>526</v>
      </c>
      <c r="G138" s="2">
        <v>12.356999999999999</v>
      </c>
      <c r="H138" s="4" t="s">
        <v>62</v>
      </c>
      <c r="I138" s="4" t="s">
        <v>82</v>
      </c>
      <c r="J138" s="19">
        <v>1</v>
      </c>
      <c r="K138" s="21">
        <v>6</v>
      </c>
      <c r="L138">
        <v>62.099999999999994</v>
      </c>
      <c r="M138">
        <v>7.9666666666666668</v>
      </c>
      <c r="N138">
        <v>9.4333333333333336</v>
      </c>
      <c r="O138">
        <f t="shared" si="8"/>
        <v>20.500000000000004</v>
      </c>
      <c r="P138">
        <f t="shared" si="9"/>
        <v>78.113207547169807</v>
      </c>
      <c r="Q138">
        <f t="shared" si="10"/>
        <v>10.020964360587001</v>
      </c>
      <c r="R138">
        <f t="shared" si="11"/>
        <v>11.865828092243188</v>
      </c>
      <c r="S138" s="4">
        <v>0.27955939670110785</v>
      </c>
      <c r="T138" s="4">
        <v>0.1249716949517146</v>
      </c>
      <c r="U138" s="4">
        <v>1.7502299606683058</v>
      </c>
      <c r="V138" s="4">
        <v>0.27671728554964159</v>
      </c>
      <c r="W138" s="4">
        <v>1.2050833150540457E-2</v>
      </c>
      <c r="X138" s="4">
        <v>2.4435291710213103</v>
      </c>
      <c r="Y138" s="4">
        <v>19.696923459761159</v>
      </c>
      <c r="Z138">
        <v>70.1875</v>
      </c>
      <c r="AA138">
        <v>0.21399999999999864</v>
      </c>
      <c r="AB138">
        <v>9.7672295755362271</v>
      </c>
      <c r="AC138" t="s">
        <v>85</v>
      </c>
      <c r="AD138" t="s">
        <v>85</v>
      </c>
      <c r="AH138" s="3"/>
      <c r="AI138" s="3"/>
    </row>
    <row r="139" spans="1:35" x14ac:dyDescent="0.35">
      <c r="A139" t="s">
        <v>148</v>
      </c>
      <c r="B139" s="19">
        <v>2</v>
      </c>
      <c r="C139" s="19" t="s">
        <v>125</v>
      </c>
      <c r="D139" s="19">
        <v>2</v>
      </c>
      <c r="E139" s="19" t="s">
        <v>125</v>
      </c>
      <c r="F139">
        <v>594</v>
      </c>
      <c r="G139" s="2">
        <v>7.9589999999999996</v>
      </c>
      <c r="H139" s="4" t="s">
        <v>62</v>
      </c>
      <c r="I139" s="4" t="s">
        <v>82</v>
      </c>
      <c r="J139" s="19">
        <v>2</v>
      </c>
      <c r="K139" s="21">
        <v>6</v>
      </c>
      <c r="L139">
        <v>62.099999999999994</v>
      </c>
      <c r="M139">
        <v>7.9666666666666668</v>
      </c>
      <c r="N139">
        <v>9.4333333333333336</v>
      </c>
      <c r="O139">
        <f t="shared" si="8"/>
        <v>20.500000000000004</v>
      </c>
      <c r="P139">
        <f t="shared" si="9"/>
        <v>78.113207547169807</v>
      </c>
      <c r="Q139">
        <f t="shared" si="10"/>
        <v>10.020964360587001</v>
      </c>
      <c r="R139">
        <f t="shared" si="11"/>
        <v>11.865828092243188</v>
      </c>
      <c r="AC139" t="s">
        <v>85</v>
      </c>
      <c r="AD139" t="s">
        <v>85</v>
      </c>
      <c r="AE139" t="s">
        <v>85</v>
      </c>
    </row>
    <row r="140" spans="1:35" x14ac:dyDescent="0.35">
      <c r="A140" t="s">
        <v>148</v>
      </c>
      <c r="B140" s="19">
        <v>3</v>
      </c>
      <c r="C140" s="19" t="s">
        <v>125</v>
      </c>
      <c r="D140" s="19">
        <v>2</v>
      </c>
      <c r="E140" s="19" t="s">
        <v>125</v>
      </c>
      <c r="F140">
        <v>362</v>
      </c>
      <c r="G140" s="2">
        <v>10.521000000000001</v>
      </c>
      <c r="H140" s="4" t="s">
        <v>62</v>
      </c>
      <c r="I140" s="4" t="s">
        <v>82</v>
      </c>
      <c r="J140" s="19">
        <v>3</v>
      </c>
      <c r="K140" s="21">
        <v>6</v>
      </c>
      <c r="L140">
        <v>62.099999999999994</v>
      </c>
      <c r="M140">
        <v>7.9666666666666668</v>
      </c>
      <c r="N140">
        <v>9.4333333333333336</v>
      </c>
      <c r="O140">
        <f t="shared" si="8"/>
        <v>20.500000000000004</v>
      </c>
      <c r="P140">
        <f t="shared" si="9"/>
        <v>78.113207547169807</v>
      </c>
      <c r="Q140">
        <f t="shared" si="10"/>
        <v>10.020964360587001</v>
      </c>
      <c r="R140">
        <f t="shared" si="11"/>
        <v>11.865828092243188</v>
      </c>
      <c r="S140" s="4">
        <v>0.57280526982081481</v>
      </c>
      <c r="T140" s="4">
        <v>0.11507547628105758</v>
      </c>
      <c r="U140" s="4">
        <v>1.9919277422888038</v>
      </c>
      <c r="V140" s="4">
        <v>0.21155930796530664</v>
      </c>
      <c r="W140" s="4">
        <v>2.1934703079668071E-2</v>
      </c>
      <c r="X140" s="4">
        <v>2.9133024994356509</v>
      </c>
      <c r="Y140" s="4">
        <v>34.543456747634181</v>
      </c>
      <c r="Z140">
        <v>66.1875</v>
      </c>
      <c r="AA140">
        <v>0.10599999999999987</v>
      </c>
      <c r="AB140">
        <v>5.480868665977245</v>
      </c>
      <c r="AC140" t="s">
        <v>85</v>
      </c>
      <c r="AD140" t="s">
        <v>85</v>
      </c>
    </row>
    <row r="141" spans="1:35" x14ac:dyDescent="0.35">
      <c r="A141" t="s">
        <v>148</v>
      </c>
      <c r="B141" s="19">
        <v>4</v>
      </c>
      <c r="C141" s="19" t="s">
        <v>125</v>
      </c>
      <c r="D141" s="19">
        <v>2</v>
      </c>
      <c r="E141" s="19" t="s">
        <v>125</v>
      </c>
      <c r="F141">
        <f>275+180</f>
        <v>455</v>
      </c>
      <c r="G141" s="2">
        <v>9.9320000000000004</v>
      </c>
      <c r="H141" s="4" t="s">
        <v>62</v>
      </c>
      <c r="I141" s="4" t="s">
        <v>82</v>
      </c>
      <c r="J141" s="19">
        <v>4</v>
      </c>
      <c r="K141" s="21">
        <v>6</v>
      </c>
      <c r="L141">
        <v>62.099999999999994</v>
      </c>
      <c r="M141">
        <v>7.9666666666666668</v>
      </c>
      <c r="N141">
        <v>9.4333333333333336</v>
      </c>
      <c r="O141">
        <f t="shared" si="8"/>
        <v>20.500000000000004</v>
      </c>
      <c r="P141">
        <f t="shared" si="9"/>
        <v>78.113207547169807</v>
      </c>
      <c r="Q141">
        <f t="shared" si="10"/>
        <v>10.020964360587001</v>
      </c>
      <c r="R141">
        <f t="shared" si="11"/>
        <v>11.865828092243188</v>
      </c>
      <c r="S141" s="4">
        <v>0.64805666683819396</v>
      </c>
      <c r="T141" s="4">
        <v>0.18423082852370443</v>
      </c>
      <c r="U141" s="4">
        <v>2.5289876501562909</v>
      </c>
      <c r="V141" s="4">
        <v>0.33950638628894519</v>
      </c>
      <c r="W141" s="4">
        <v>1.3001037161615393E-2</v>
      </c>
      <c r="X141" s="4">
        <v>3.7137825689687505</v>
      </c>
      <c r="Y141" s="4">
        <v>39.609896169199381</v>
      </c>
      <c r="Z141">
        <v>71.25</v>
      </c>
      <c r="AA141">
        <v>0.13699999999999957</v>
      </c>
      <c r="AB141">
        <v>6.380996739636684</v>
      </c>
      <c r="AC141" t="s">
        <v>85</v>
      </c>
      <c r="AD141" t="s">
        <v>85</v>
      </c>
    </row>
    <row r="142" spans="1:35" x14ac:dyDescent="0.35">
      <c r="A142" t="s">
        <v>148</v>
      </c>
      <c r="B142" s="19">
        <v>5</v>
      </c>
      <c r="C142" s="19" t="s">
        <v>125</v>
      </c>
      <c r="D142" s="19">
        <v>2</v>
      </c>
      <c r="E142" s="19" t="s">
        <v>125</v>
      </c>
      <c r="F142">
        <v>290</v>
      </c>
      <c r="G142" s="2">
        <v>4.1550000000000002</v>
      </c>
      <c r="H142" s="4" t="s">
        <v>62</v>
      </c>
      <c r="I142" s="4" t="s">
        <v>82</v>
      </c>
      <c r="J142" s="19">
        <v>5</v>
      </c>
      <c r="K142" s="21">
        <v>6</v>
      </c>
      <c r="L142">
        <v>62.099999999999994</v>
      </c>
      <c r="M142">
        <v>7.9666666666666668</v>
      </c>
      <c r="N142">
        <v>9.4333333333333336</v>
      </c>
      <c r="O142">
        <f t="shared" si="8"/>
        <v>20.500000000000004</v>
      </c>
      <c r="P142">
        <f t="shared" si="9"/>
        <v>78.113207547169807</v>
      </c>
      <c r="Q142">
        <f t="shared" si="10"/>
        <v>10.020964360587001</v>
      </c>
      <c r="R142">
        <f t="shared" si="11"/>
        <v>11.865828092243188</v>
      </c>
      <c r="AC142" t="s">
        <v>85</v>
      </c>
      <c r="AD142" t="s">
        <v>85</v>
      </c>
    </row>
    <row r="143" spans="1:35" x14ac:dyDescent="0.35">
      <c r="A143" t="s">
        <v>148</v>
      </c>
      <c r="B143" s="19">
        <v>6</v>
      </c>
      <c r="C143" s="19" t="s">
        <v>125</v>
      </c>
      <c r="D143" s="19">
        <v>2</v>
      </c>
      <c r="E143" s="19" t="s">
        <v>125</v>
      </c>
      <c r="F143">
        <v>354</v>
      </c>
      <c r="G143" s="2">
        <v>6.0229999999999997</v>
      </c>
      <c r="H143" s="4" t="s">
        <v>62</v>
      </c>
      <c r="I143" s="4" t="s">
        <v>82</v>
      </c>
      <c r="J143" s="19">
        <v>6</v>
      </c>
      <c r="K143" s="21">
        <v>6</v>
      </c>
      <c r="L143">
        <v>62.099999999999994</v>
      </c>
      <c r="M143">
        <v>7.9666666666666668</v>
      </c>
      <c r="N143">
        <v>9.4333333333333336</v>
      </c>
      <c r="O143">
        <f t="shared" si="8"/>
        <v>20.500000000000004</v>
      </c>
      <c r="P143">
        <f t="shared" si="9"/>
        <v>78.113207547169807</v>
      </c>
      <c r="Q143">
        <f t="shared" si="10"/>
        <v>10.020964360587001</v>
      </c>
      <c r="R143">
        <f t="shared" si="11"/>
        <v>11.865828092243188</v>
      </c>
      <c r="AC143" t="s">
        <v>85</v>
      </c>
      <c r="AD143" t="s">
        <v>85</v>
      </c>
    </row>
    <row r="144" spans="1:35" x14ac:dyDescent="0.35">
      <c r="A144" t="s">
        <v>148</v>
      </c>
      <c r="B144" s="19">
        <v>7</v>
      </c>
      <c r="C144" s="19" t="s">
        <v>125</v>
      </c>
      <c r="D144" s="19">
        <v>2</v>
      </c>
      <c r="E144" s="19" t="s">
        <v>125</v>
      </c>
      <c r="F144">
        <f>296+221</f>
        <v>517</v>
      </c>
      <c r="G144" s="2">
        <v>14.718</v>
      </c>
      <c r="H144" s="4" t="s">
        <v>62</v>
      </c>
      <c r="I144" s="4" t="s">
        <v>82</v>
      </c>
      <c r="J144" s="19">
        <v>7</v>
      </c>
      <c r="K144" s="21">
        <v>6</v>
      </c>
      <c r="L144">
        <v>62.099999999999994</v>
      </c>
      <c r="M144">
        <v>7.9666666666666668</v>
      </c>
      <c r="N144">
        <v>9.4333333333333336</v>
      </c>
      <c r="O144">
        <f t="shared" si="8"/>
        <v>20.500000000000004</v>
      </c>
      <c r="P144">
        <f t="shared" si="9"/>
        <v>78.113207547169807</v>
      </c>
      <c r="Q144">
        <f t="shared" si="10"/>
        <v>10.020964360587001</v>
      </c>
      <c r="R144">
        <f t="shared" si="11"/>
        <v>11.865828092243188</v>
      </c>
      <c r="S144" s="4">
        <v>0.43467479765514944</v>
      </c>
      <c r="T144" s="4">
        <v>0.14413844307204088</v>
      </c>
      <c r="U144" s="4">
        <v>2.0229818455093755</v>
      </c>
      <c r="V144" s="4">
        <v>0.29273769978780528</v>
      </c>
      <c r="W144" s="4">
        <v>8.6065887741901739E-3</v>
      </c>
      <c r="X144" s="4">
        <v>2.9031393747985614</v>
      </c>
      <c r="Y144" s="4">
        <v>37.559054886136707</v>
      </c>
      <c r="Z144">
        <v>66.0625</v>
      </c>
      <c r="AA144">
        <v>0.11399999999999988</v>
      </c>
      <c r="AB144">
        <v>5.5045871559632973</v>
      </c>
      <c r="AC144" t="s">
        <v>85</v>
      </c>
      <c r="AD144" t="s">
        <v>85</v>
      </c>
    </row>
    <row r="145" spans="1:35" x14ac:dyDescent="0.35">
      <c r="A145" t="s">
        <v>148</v>
      </c>
      <c r="B145" s="19">
        <v>8</v>
      </c>
      <c r="C145" s="19" t="s">
        <v>125</v>
      </c>
      <c r="D145" s="19">
        <v>2</v>
      </c>
      <c r="E145" s="19" t="s">
        <v>125</v>
      </c>
      <c r="F145">
        <f>349+330</f>
        <v>679</v>
      </c>
      <c r="G145" s="2">
        <v>14.114000000000001</v>
      </c>
      <c r="H145" s="4" t="s">
        <v>62</v>
      </c>
      <c r="I145" s="4" t="s">
        <v>82</v>
      </c>
      <c r="J145" s="19">
        <v>8</v>
      </c>
      <c r="K145" s="21">
        <v>6</v>
      </c>
      <c r="L145">
        <v>62.099999999999994</v>
      </c>
      <c r="M145">
        <v>7.9666666666666668</v>
      </c>
      <c r="N145">
        <v>9.4333333333333336</v>
      </c>
      <c r="O145">
        <f t="shared" si="8"/>
        <v>20.500000000000004</v>
      </c>
      <c r="P145">
        <f t="shared" si="9"/>
        <v>78.113207547169807</v>
      </c>
      <c r="Q145">
        <f t="shared" si="10"/>
        <v>10.020964360587001</v>
      </c>
      <c r="R145">
        <f t="shared" si="11"/>
        <v>11.865828092243188</v>
      </c>
      <c r="S145" s="4">
        <v>0.69077815025535039</v>
      </c>
      <c r="T145" s="4">
        <v>0.19505934542184517</v>
      </c>
      <c r="U145" s="4">
        <v>2.798411480452609</v>
      </c>
      <c r="V145" s="4">
        <v>0.41973871921572131</v>
      </c>
      <c r="W145" s="4">
        <v>9.3361146553584632E-3</v>
      </c>
      <c r="X145" s="4">
        <v>4.1133238100008844</v>
      </c>
      <c r="Y145" s="4">
        <v>53.09258813494516</v>
      </c>
      <c r="Z145">
        <v>66.875</v>
      </c>
      <c r="AA145">
        <v>0.14499999999999957</v>
      </c>
      <c r="AB145">
        <v>5.2688953488371943</v>
      </c>
      <c r="AC145" t="s">
        <v>85</v>
      </c>
      <c r="AD145" t="s">
        <v>85</v>
      </c>
      <c r="AE145" t="s">
        <v>85</v>
      </c>
    </row>
    <row r="146" spans="1:35" x14ac:dyDescent="0.35">
      <c r="A146" t="s">
        <v>148</v>
      </c>
      <c r="B146" s="19">
        <v>9</v>
      </c>
      <c r="C146" s="19" t="s">
        <v>124</v>
      </c>
      <c r="D146" s="19">
        <v>1</v>
      </c>
      <c r="F146">
        <v>219</v>
      </c>
      <c r="G146">
        <v>3.613</v>
      </c>
      <c r="H146" s="4" t="s">
        <v>62</v>
      </c>
      <c r="I146" s="4" t="s">
        <v>82</v>
      </c>
      <c r="J146" s="19">
        <v>1</v>
      </c>
      <c r="K146" s="21">
        <v>6</v>
      </c>
      <c r="L146">
        <v>62.099999999999994</v>
      </c>
      <c r="M146">
        <v>7.9666666666666668</v>
      </c>
      <c r="N146">
        <v>9.4333333333333336</v>
      </c>
      <c r="O146">
        <f t="shared" si="8"/>
        <v>20.500000000000004</v>
      </c>
      <c r="P146">
        <f t="shared" si="9"/>
        <v>78.113207547169807</v>
      </c>
      <c r="Q146">
        <f t="shared" si="10"/>
        <v>10.020964360587001</v>
      </c>
      <c r="R146">
        <f t="shared" si="11"/>
        <v>11.865828092243188</v>
      </c>
      <c r="S146" s="14"/>
      <c r="T146" s="14"/>
      <c r="U146" s="14"/>
      <c r="V146" s="14"/>
      <c r="W146" s="14"/>
      <c r="X146" s="14"/>
      <c r="AC146" t="s">
        <v>87</v>
      </c>
      <c r="AD146" t="s">
        <v>87</v>
      </c>
    </row>
    <row r="147" spans="1:35" x14ac:dyDescent="0.35">
      <c r="A147" t="s">
        <v>148</v>
      </c>
      <c r="B147" s="19">
        <v>10</v>
      </c>
      <c r="C147" s="19" t="s">
        <v>124</v>
      </c>
      <c r="D147" s="19">
        <v>1</v>
      </c>
      <c r="F147">
        <v>278</v>
      </c>
      <c r="G147">
        <v>2.4079999999999999</v>
      </c>
      <c r="H147" s="4" t="s">
        <v>62</v>
      </c>
      <c r="I147" s="4" t="s">
        <v>82</v>
      </c>
      <c r="J147" s="19">
        <v>2</v>
      </c>
      <c r="K147" s="21">
        <v>6</v>
      </c>
      <c r="L147">
        <v>62.099999999999994</v>
      </c>
      <c r="M147">
        <v>7.9666666666666668</v>
      </c>
      <c r="N147">
        <v>9.4333333333333336</v>
      </c>
      <c r="O147">
        <f t="shared" si="8"/>
        <v>20.500000000000004</v>
      </c>
      <c r="P147">
        <f t="shared" si="9"/>
        <v>78.113207547169807</v>
      </c>
      <c r="Q147">
        <f t="shared" si="10"/>
        <v>10.020964360587001</v>
      </c>
      <c r="R147">
        <f t="shared" si="11"/>
        <v>11.865828092243188</v>
      </c>
      <c r="S147" s="14"/>
      <c r="T147" s="14"/>
      <c r="U147" s="14"/>
      <c r="V147" s="14"/>
      <c r="W147" s="14"/>
      <c r="X147" s="14"/>
      <c r="AC147" t="s">
        <v>87</v>
      </c>
      <c r="AD147" t="s">
        <v>87</v>
      </c>
      <c r="AH147" s="5"/>
      <c r="AI147" s="6"/>
    </row>
    <row r="148" spans="1:35" x14ac:dyDescent="0.35">
      <c r="A148" t="s">
        <v>149</v>
      </c>
      <c r="B148" s="21">
        <v>1</v>
      </c>
      <c r="C148" s="21" t="s">
        <v>127</v>
      </c>
      <c r="D148" s="21">
        <v>4</v>
      </c>
      <c r="E148" s="19" t="s">
        <v>127</v>
      </c>
      <c r="F148">
        <v>70</v>
      </c>
      <c r="G148" s="2">
        <v>1.9450000000000001</v>
      </c>
      <c r="H148" s="14" t="s">
        <v>66</v>
      </c>
      <c r="I148" s="4" t="s">
        <v>19</v>
      </c>
      <c r="J148" s="21">
        <v>1</v>
      </c>
      <c r="K148" s="21">
        <v>7</v>
      </c>
      <c r="L148" s="17">
        <v>14.0875</v>
      </c>
      <c r="M148">
        <v>12.53560206521</v>
      </c>
      <c r="N148">
        <v>50</v>
      </c>
      <c r="O148">
        <f t="shared" si="8"/>
        <v>23.376897934789994</v>
      </c>
      <c r="P148">
        <f t="shared" si="9"/>
        <v>18.385447234974713</v>
      </c>
      <c r="Q148">
        <f t="shared" si="10"/>
        <v>16.360081655975755</v>
      </c>
      <c r="R148">
        <f t="shared" si="11"/>
        <v>65.254471109049547</v>
      </c>
      <c r="S148" s="4">
        <v>1.1077013686471262</v>
      </c>
      <c r="T148" s="4">
        <v>8.5478659896441031E-2</v>
      </c>
      <c r="U148" s="4">
        <v>2.3243875718617404</v>
      </c>
      <c r="V148" s="4">
        <v>0.32298174342510655</v>
      </c>
      <c r="W148" s="4">
        <v>0.91126379668727508</v>
      </c>
      <c r="X148" s="4">
        <v>4.7518131405176893</v>
      </c>
      <c r="Y148" s="4">
        <v>39.453025951810226</v>
      </c>
      <c r="AC148" t="s">
        <v>85</v>
      </c>
      <c r="AD148" t="s">
        <v>85</v>
      </c>
      <c r="AH148" s="3"/>
      <c r="AI148" s="3"/>
    </row>
    <row r="149" spans="1:35" x14ac:dyDescent="0.35">
      <c r="A149" t="s">
        <v>149</v>
      </c>
      <c r="B149" s="21">
        <v>2</v>
      </c>
      <c r="C149" s="21" t="s">
        <v>127</v>
      </c>
      <c r="D149" s="21">
        <v>4</v>
      </c>
      <c r="E149" s="19" t="s">
        <v>127</v>
      </c>
      <c r="F149">
        <v>72</v>
      </c>
      <c r="G149" s="2">
        <v>2.99</v>
      </c>
      <c r="H149" s="14" t="s">
        <v>66</v>
      </c>
      <c r="I149" s="4" t="s">
        <v>19</v>
      </c>
      <c r="J149" s="21">
        <v>2</v>
      </c>
      <c r="K149" s="21">
        <v>7</v>
      </c>
      <c r="L149" s="17">
        <v>14.0875</v>
      </c>
      <c r="M149">
        <v>12.53560206521</v>
      </c>
      <c r="N149">
        <v>50</v>
      </c>
      <c r="O149">
        <f t="shared" si="8"/>
        <v>23.376897934789994</v>
      </c>
      <c r="P149">
        <f t="shared" si="9"/>
        <v>18.385447234974713</v>
      </c>
      <c r="Q149">
        <f t="shared" si="10"/>
        <v>16.360081655975755</v>
      </c>
      <c r="R149">
        <f t="shared" si="11"/>
        <v>65.254471109049547</v>
      </c>
      <c r="S149" s="4">
        <v>0.9720887277521707</v>
      </c>
      <c r="T149" s="4">
        <v>0.13836083708528632</v>
      </c>
      <c r="U149" s="4">
        <v>2.0478117008203971</v>
      </c>
      <c r="V149" s="4">
        <v>0.3098953551600318</v>
      </c>
      <c r="W149" s="4">
        <v>0.71065822992600691</v>
      </c>
      <c r="X149" s="4">
        <v>4.1788148507438931</v>
      </c>
      <c r="Y149" s="4">
        <v>32.9989747745988</v>
      </c>
      <c r="AC149" t="s">
        <v>85</v>
      </c>
      <c r="AD149" t="s">
        <v>85</v>
      </c>
    </row>
    <row r="150" spans="1:35" x14ac:dyDescent="0.35">
      <c r="A150" t="s">
        <v>149</v>
      </c>
      <c r="B150" s="21">
        <v>3</v>
      </c>
      <c r="C150" s="21" t="s">
        <v>127</v>
      </c>
      <c r="D150" s="21">
        <v>4</v>
      </c>
      <c r="E150" s="19" t="s">
        <v>127</v>
      </c>
      <c r="F150">
        <v>165</v>
      </c>
      <c r="G150" s="2">
        <v>6.351</v>
      </c>
      <c r="H150" s="14" t="s">
        <v>66</v>
      </c>
      <c r="I150" s="4" t="s">
        <v>19</v>
      </c>
      <c r="J150" s="21">
        <v>3</v>
      </c>
      <c r="K150" s="21">
        <v>7</v>
      </c>
      <c r="L150" s="17">
        <v>14.0875</v>
      </c>
      <c r="M150">
        <v>12.53560206521</v>
      </c>
      <c r="N150">
        <v>50</v>
      </c>
      <c r="O150">
        <f t="shared" si="8"/>
        <v>23.376897934789994</v>
      </c>
      <c r="P150">
        <f t="shared" si="9"/>
        <v>18.385447234974713</v>
      </c>
      <c r="Q150">
        <f t="shared" si="10"/>
        <v>16.360081655975755</v>
      </c>
      <c r="R150">
        <f t="shared" si="11"/>
        <v>65.254471109049547</v>
      </c>
      <c r="S150" s="4">
        <v>1.0007635611394312</v>
      </c>
      <c r="T150" s="4">
        <v>0.13879144790625084</v>
      </c>
      <c r="U150" s="4">
        <v>2.2248483151884653</v>
      </c>
      <c r="V150" s="4">
        <v>0.30613940163412873</v>
      </c>
      <c r="W150" s="4">
        <v>0.57352415445961547</v>
      </c>
      <c r="X150" s="4">
        <v>4.2440668803278916</v>
      </c>
      <c r="Y150" s="4">
        <v>28.372198469372098</v>
      </c>
      <c r="AC150" t="s">
        <v>85</v>
      </c>
      <c r="AD150" t="s">
        <v>85</v>
      </c>
    </row>
    <row r="151" spans="1:35" x14ac:dyDescent="0.35">
      <c r="A151" t="s">
        <v>149</v>
      </c>
      <c r="B151" s="21">
        <v>4</v>
      </c>
      <c r="C151" s="21" t="s">
        <v>127</v>
      </c>
      <c r="D151" s="21">
        <v>4</v>
      </c>
      <c r="E151" s="19" t="s">
        <v>127</v>
      </c>
      <c r="F151">
        <v>86</v>
      </c>
      <c r="G151" s="2">
        <v>2.629</v>
      </c>
      <c r="H151" s="14" t="s">
        <v>66</v>
      </c>
      <c r="I151" s="4" t="s">
        <v>19</v>
      </c>
      <c r="J151" s="21">
        <v>4</v>
      </c>
      <c r="K151" s="21">
        <v>7</v>
      </c>
      <c r="L151" s="17">
        <v>14.0875</v>
      </c>
      <c r="M151">
        <v>12.53560206521</v>
      </c>
      <c r="N151">
        <v>50</v>
      </c>
      <c r="O151">
        <f t="shared" si="8"/>
        <v>23.376897934789994</v>
      </c>
      <c r="P151">
        <f t="shared" si="9"/>
        <v>18.385447234974713</v>
      </c>
      <c r="Q151">
        <f t="shared" si="10"/>
        <v>16.360081655975755</v>
      </c>
      <c r="R151">
        <f t="shared" si="11"/>
        <v>65.254471109049547</v>
      </c>
      <c r="AC151" t="s">
        <v>85</v>
      </c>
      <c r="AD151" t="s">
        <v>85</v>
      </c>
    </row>
    <row r="152" spans="1:35" x14ac:dyDescent="0.35">
      <c r="A152" t="s">
        <v>149</v>
      </c>
      <c r="B152" s="21">
        <v>5</v>
      </c>
      <c r="C152" s="21" t="s">
        <v>127</v>
      </c>
      <c r="D152" s="21">
        <v>4</v>
      </c>
      <c r="E152" s="19" t="s">
        <v>127</v>
      </c>
      <c r="F152">
        <v>87</v>
      </c>
      <c r="G152" s="2">
        <v>1.9330000000000001</v>
      </c>
      <c r="H152" s="14" t="s">
        <v>66</v>
      </c>
      <c r="I152" s="4" t="s">
        <v>19</v>
      </c>
      <c r="J152" s="21">
        <v>5</v>
      </c>
      <c r="K152" s="21">
        <v>7</v>
      </c>
      <c r="L152" s="17">
        <v>14.0875</v>
      </c>
      <c r="M152">
        <v>12.53560206521</v>
      </c>
      <c r="N152">
        <v>50</v>
      </c>
      <c r="O152">
        <f t="shared" si="8"/>
        <v>23.376897934789994</v>
      </c>
      <c r="P152">
        <f t="shared" si="9"/>
        <v>18.385447234974713</v>
      </c>
      <c r="Q152">
        <f t="shared" si="10"/>
        <v>16.360081655975755</v>
      </c>
      <c r="R152">
        <f t="shared" si="11"/>
        <v>65.254471109049547</v>
      </c>
      <c r="AC152" t="s">
        <v>85</v>
      </c>
      <c r="AD152" t="s">
        <v>85</v>
      </c>
    </row>
    <row r="153" spans="1:35" x14ac:dyDescent="0.35">
      <c r="A153" s="9" t="s">
        <v>146</v>
      </c>
      <c r="B153" s="21">
        <v>1</v>
      </c>
      <c r="C153" s="21" t="s">
        <v>127</v>
      </c>
      <c r="D153" s="21">
        <v>4</v>
      </c>
      <c r="E153" s="19" t="s">
        <v>127</v>
      </c>
      <c r="F153">
        <v>226</v>
      </c>
      <c r="G153" s="2">
        <v>7.1159999999999997</v>
      </c>
      <c r="H153" s="14" t="s">
        <v>66</v>
      </c>
      <c r="I153" s="4" t="s">
        <v>19</v>
      </c>
      <c r="J153" s="21">
        <v>1</v>
      </c>
      <c r="K153" s="21">
        <v>7</v>
      </c>
      <c r="L153">
        <v>47</v>
      </c>
      <c r="M153">
        <v>5</v>
      </c>
      <c r="N153">
        <v>40</v>
      </c>
      <c r="O153">
        <f t="shared" si="8"/>
        <v>8</v>
      </c>
      <c r="P153">
        <f t="shared" si="9"/>
        <v>51.086956521739133</v>
      </c>
      <c r="Q153">
        <f t="shared" si="10"/>
        <v>5.4347826086956523</v>
      </c>
      <c r="R153">
        <f t="shared" si="11"/>
        <v>43.478260869565219</v>
      </c>
      <c r="S153" s="4">
        <v>0.54513149183175014</v>
      </c>
      <c r="T153" s="4">
        <v>0.12229191430088726</v>
      </c>
      <c r="U153" s="4">
        <v>2.5853071553087656</v>
      </c>
      <c r="V153" s="4">
        <v>0.49204160592715562</v>
      </c>
      <c r="W153" s="4">
        <v>0.14413922397123505</v>
      </c>
      <c r="X153" s="4">
        <v>3.8889113913397937</v>
      </c>
      <c r="Y153" s="4">
        <v>34.015045584176171</v>
      </c>
      <c r="AC153" t="s">
        <v>85</v>
      </c>
      <c r="AD153" t="s">
        <v>85</v>
      </c>
    </row>
    <row r="154" spans="1:35" x14ac:dyDescent="0.35">
      <c r="A154" s="9" t="s">
        <v>146</v>
      </c>
      <c r="B154" s="21">
        <v>2</v>
      </c>
      <c r="C154" s="21" t="s">
        <v>127</v>
      </c>
      <c r="D154" s="21">
        <v>4</v>
      </c>
      <c r="E154" s="19" t="s">
        <v>127</v>
      </c>
      <c r="F154">
        <v>34</v>
      </c>
      <c r="G154" s="2">
        <v>1.645</v>
      </c>
      <c r="H154" s="14" t="s">
        <v>66</v>
      </c>
      <c r="I154" s="4" t="s">
        <v>19</v>
      </c>
      <c r="J154" s="21">
        <v>2</v>
      </c>
      <c r="K154" s="21">
        <v>7</v>
      </c>
      <c r="L154">
        <v>47</v>
      </c>
      <c r="M154">
        <v>5</v>
      </c>
      <c r="N154">
        <v>40</v>
      </c>
      <c r="O154">
        <f t="shared" si="8"/>
        <v>8</v>
      </c>
      <c r="P154">
        <f t="shared" si="9"/>
        <v>51.086956521739133</v>
      </c>
      <c r="Q154">
        <f t="shared" si="10"/>
        <v>5.4347826086956523</v>
      </c>
      <c r="R154">
        <f t="shared" si="11"/>
        <v>43.478260869565219</v>
      </c>
      <c r="S154" s="4">
        <v>0.65097746615271923</v>
      </c>
      <c r="T154" s="4">
        <v>0.17347167568763702</v>
      </c>
      <c r="U154" s="4">
        <v>2.634101202755617</v>
      </c>
      <c r="V154" s="4">
        <v>0.56396993894833658</v>
      </c>
      <c r="W154" s="4">
        <v>4.9132725896248765E-2</v>
      </c>
      <c r="X154" s="4">
        <v>4.071653009440559</v>
      </c>
      <c r="Y154" s="4">
        <v>27.211456040590647</v>
      </c>
      <c r="AC154" t="s">
        <v>85</v>
      </c>
      <c r="AD154" t="s">
        <v>85</v>
      </c>
    </row>
    <row r="155" spans="1:35" x14ac:dyDescent="0.35">
      <c r="A155" s="9" t="s">
        <v>146</v>
      </c>
      <c r="B155" s="21">
        <v>3</v>
      </c>
      <c r="C155" s="21" t="s">
        <v>127</v>
      </c>
      <c r="D155" s="21">
        <v>4</v>
      </c>
      <c r="E155" s="19" t="s">
        <v>127</v>
      </c>
      <c r="F155">
        <v>48</v>
      </c>
      <c r="G155" s="2">
        <v>2.5289999999999999</v>
      </c>
      <c r="H155" s="14" t="s">
        <v>66</v>
      </c>
      <c r="I155" s="4" t="s">
        <v>19</v>
      </c>
      <c r="J155" s="21">
        <v>3</v>
      </c>
      <c r="K155" s="21">
        <v>7</v>
      </c>
      <c r="L155">
        <v>47</v>
      </c>
      <c r="M155">
        <v>5</v>
      </c>
      <c r="N155">
        <v>40</v>
      </c>
      <c r="O155">
        <f t="shared" si="8"/>
        <v>8</v>
      </c>
      <c r="P155">
        <f t="shared" si="9"/>
        <v>51.086956521739133</v>
      </c>
      <c r="Q155">
        <f t="shared" si="10"/>
        <v>5.4347826086956523</v>
      </c>
      <c r="R155">
        <f t="shared" si="11"/>
        <v>43.478260869565219</v>
      </c>
      <c r="S155" s="4">
        <v>0.58469844174446961</v>
      </c>
      <c r="T155" s="4">
        <v>0.10749311397367191</v>
      </c>
      <c r="U155" s="4">
        <v>2.2725680636636536</v>
      </c>
      <c r="V155" s="4">
        <v>0.47731123921174062</v>
      </c>
      <c r="W155" s="4">
        <v>3.610892702105592E-2</v>
      </c>
      <c r="X155" s="4">
        <v>3.4781797856145915</v>
      </c>
      <c r="Y155" s="4">
        <v>32.341990819538765</v>
      </c>
      <c r="AC155" t="s">
        <v>85</v>
      </c>
      <c r="AD155" t="s">
        <v>85</v>
      </c>
    </row>
    <row r="156" spans="1:35" x14ac:dyDescent="0.35">
      <c r="A156" s="9" t="s">
        <v>146</v>
      </c>
      <c r="B156" s="21">
        <v>4</v>
      </c>
      <c r="C156" s="21" t="s">
        <v>127</v>
      </c>
      <c r="D156" s="21">
        <v>4</v>
      </c>
      <c r="E156" s="19" t="s">
        <v>127</v>
      </c>
      <c r="F156">
        <v>76</v>
      </c>
      <c r="G156" s="2">
        <v>3.2589999999999999</v>
      </c>
      <c r="H156" s="14" t="s">
        <v>66</v>
      </c>
      <c r="I156" s="4" t="s">
        <v>19</v>
      </c>
      <c r="J156" s="21">
        <v>4</v>
      </c>
      <c r="K156" s="21">
        <v>7</v>
      </c>
      <c r="L156">
        <v>47</v>
      </c>
      <c r="M156">
        <v>5</v>
      </c>
      <c r="N156">
        <v>40</v>
      </c>
      <c r="O156">
        <f t="shared" si="8"/>
        <v>8</v>
      </c>
      <c r="P156">
        <f t="shared" si="9"/>
        <v>51.086956521739133</v>
      </c>
      <c r="Q156">
        <f t="shared" si="10"/>
        <v>5.4347826086956523</v>
      </c>
      <c r="R156">
        <f t="shared" si="11"/>
        <v>43.478260869565219</v>
      </c>
      <c r="AC156" t="s">
        <v>85</v>
      </c>
      <c r="AD156" t="s">
        <v>85</v>
      </c>
    </row>
    <row r="157" spans="1:35" x14ac:dyDescent="0.35">
      <c r="A157" s="9" t="s">
        <v>146</v>
      </c>
      <c r="B157" s="21">
        <v>5</v>
      </c>
      <c r="C157" s="21" t="s">
        <v>127</v>
      </c>
      <c r="D157" s="21">
        <v>4</v>
      </c>
      <c r="E157" s="19" t="s">
        <v>127</v>
      </c>
      <c r="F157">
        <v>60</v>
      </c>
      <c r="G157" s="2">
        <v>1.58</v>
      </c>
      <c r="H157" s="14" t="s">
        <v>66</v>
      </c>
      <c r="I157" s="4" t="s">
        <v>19</v>
      </c>
      <c r="J157" s="21">
        <v>5</v>
      </c>
      <c r="K157" s="21">
        <v>7</v>
      </c>
      <c r="L157">
        <v>47</v>
      </c>
      <c r="M157">
        <v>5</v>
      </c>
      <c r="N157">
        <v>40</v>
      </c>
      <c r="O157">
        <f t="shared" si="8"/>
        <v>8</v>
      </c>
      <c r="P157">
        <f t="shared" si="9"/>
        <v>51.086956521739133</v>
      </c>
      <c r="Q157">
        <f t="shared" si="10"/>
        <v>5.4347826086956523</v>
      </c>
      <c r="R157">
        <f t="shared" si="11"/>
        <v>43.478260869565219</v>
      </c>
      <c r="AC157" t="s">
        <v>85</v>
      </c>
      <c r="AD157" t="s">
        <v>85</v>
      </c>
    </row>
    <row r="158" spans="1:35" x14ac:dyDescent="0.35">
      <c r="A158" t="s">
        <v>74</v>
      </c>
      <c r="B158" s="19">
        <v>1</v>
      </c>
      <c r="C158" s="21" t="s">
        <v>127</v>
      </c>
      <c r="D158" s="21">
        <v>4</v>
      </c>
      <c r="E158" s="19" t="s">
        <v>127</v>
      </c>
      <c r="F158">
        <v>80</v>
      </c>
      <c r="G158" s="2">
        <v>11.395</v>
      </c>
      <c r="H158" s="14" t="s">
        <v>66</v>
      </c>
      <c r="I158" s="4" t="s">
        <v>20</v>
      </c>
      <c r="J158" s="21">
        <v>1</v>
      </c>
      <c r="K158" s="21">
        <v>7</v>
      </c>
      <c r="L158" s="17">
        <v>43.2</v>
      </c>
      <c r="M158">
        <v>1.5</v>
      </c>
      <c r="N158">
        <v>30</v>
      </c>
      <c r="O158">
        <f t="shared" si="8"/>
        <v>25.299999999999997</v>
      </c>
      <c r="P158">
        <f t="shared" si="9"/>
        <v>57.831325301204814</v>
      </c>
      <c r="Q158">
        <f t="shared" si="10"/>
        <v>2.0080321285140563</v>
      </c>
      <c r="R158">
        <f t="shared" si="11"/>
        <v>40.160642570281126</v>
      </c>
      <c r="S158" s="4">
        <v>0.19731136488039774</v>
      </c>
      <c r="T158" s="4">
        <v>8.0105791460873738E-2</v>
      </c>
      <c r="U158" s="4">
        <v>2.8215618156457927</v>
      </c>
      <c r="V158" s="4">
        <v>0.57909202856393793</v>
      </c>
      <c r="W158" s="4">
        <v>0.40014145373831655</v>
      </c>
      <c r="X158" s="4">
        <v>4.0782124542893188</v>
      </c>
      <c r="Y158" s="4">
        <v>27.396261729538814</v>
      </c>
      <c r="AC158" t="s">
        <v>85</v>
      </c>
      <c r="AD158" t="s">
        <v>85</v>
      </c>
    </row>
    <row r="159" spans="1:35" x14ac:dyDescent="0.35">
      <c r="A159" t="s">
        <v>74</v>
      </c>
      <c r="B159" s="19">
        <v>2</v>
      </c>
      <c r="C159" s="21" t="s">
        <v>127</v>
      </c>
      <c r="D159" s="21">
        <v>4</v>
      </c>
      <c r="E159" s="19" t="s">
        <v>127</v>
      </c>
      <c r="F159">
        <v>61</v>
      </c>
      <c r="G159" s="2">
        <v>5.8470000000000004</v>
      </c>
      <c r="H159" s="14" t="s">
        <v>66</v>
      </c>
      <c r="I159" s="4" t="s">
        <v>20</v>
      </c>
      <c r="J159" s="21">
        <v>2</v>
      </c>
      <c r="K159" s="21">
        <v>7</v>
      </c>
      <c r="L159" s="17">
        <v>43.2</v>
      </c>
      <c r="M159">
        <v>1.5</v>
      </c>
      <c r="N159">
        <v>30</v>
      </c>
      <c r="O159">
        <f t="shared" si="8"/>
        <v>25.299999999999997</v>
      </c>
      <c r="P159">
        <f t="shared" si="9"/>
        <v>57.831325301204814</v>
      </c>
      <c r="Q159">
        <f t="shared" si="10"/>
        <v>2.0080321285140563</v>
      </c>
      <c r="R159">
        <f>(N159/(SUM(L159:N159))*100)</f>
        <v>40.160642570281126</v>
      </c>
      <c r="S159" s="4">
        <v>0.22206658878432453</v>
      </c>
      <c r="T159" s="4">
        <v>9.87030201192617E-2</v>
      </c>
      <c r="U159" s="4">
        <v>3.1894384365589472</v>
      </c>
      <c r="V159" s="4">
        <v>0.64019026338349172</v>
      </c>
      <c r="W159" s="4">
        <v>0.30214012651969885</v>
      </c>
      <c r="X159" s="4">
        <v>4.4525384353657245</v>
      </c>
      <c r="Y159" s="4">
        <v>27.234883583372554</v>
      </c>
      <c r="AC159" t="s">
        <v>85</v>
      </c>
      <c r="AD159" t="s">
        <v>85</v>
      </c>
    </row>
    <row r="160" spans="1:35" x14ac:dyDescent="0.35">
      <c r="A160" t="s">
        <v>74</v>
      </c>
      <c r="B160" s="19">
        <v>3</v>
      </c>
      <c r="C160" s="21" t="s">
        <v>127</v>
      </c>
      <c r="D160" s="21">
        <v>4</v>
      </c>
      <c r="E160" s="19" t="s">
        <v>127</v>
      </c>
      <c r="F160">
        <v>125</v>
      </c>
      <c r="G160" s="2">
        <v>13.209</v>
      </c>
      <c r="H160" s="14" t="s">
        <v>66</v>
      </c>
      <c r="I160" s="4" t="s">
        <v>20</v>
      </c>
      <c r="J160" s="21">
        <v>3</v>
      </c>
      <c r="K160" s="21">
        <v>7</v>
      </c>
      <c r="L160" s="17">
        <v>43.2</v>
      </c>
      <c r="M160">
        <v>1.5</v>
      </c>
      <c r="N160">
        <v>30</v>
      </c>
      <c r="O160">
        <f t="shared" si="8"/>
        <v>25.299999999999997</v>
      </c>
      <c r="P160">
        <f t="shared" si="9"/>
        <v>57.831325301204814</v>
      </c>
      <c r="Q160">
        <f t="shared" si="10"/>
        <v>2.0080321285140563</v>
      </c>
      <c r="R160">
        <f t="shared" si="11"/>
        <v>40.160642570281126</v>
      </c>
      <c r="S160" s="4">
        <v>0.12659207916511347</v>
      </c>
      <c r="T160" s="4">
        <v>9.7768558739462011E-2</v>
      </c>
      <c r="U160" s="4">
        <v>1.5901738296920347</v>
      </c>
      <c r="V160" s="4">
        <v>0.46950764850518434</v>
      </c>
      <c r="W160" s="4">
        <v>0.18438697317374067</v>
      </c>
      <c r="X160" s="4">
        <v>2.4684290892755349</v>
      </c>
      <c r="Y160" s="4">
        <v>13.550494707478755</v>
      </c>
      <c r="AC160" t="s">
        <v>85</v>
      </c>
      <c r="AD160" t="s">
        <v>85</v>
      </c>
    </row>
    <row r="161" spans="1:30" x14ac:dyDescent="0.35">
      <c r="A161" t="s">
        <v>74</v>
      </c>
      <c r="B161" s="19">
        <v>4</v>
      </c>
      <c r="C161" s="21" t="s">
        <v>127</v>
      </c>
      <c r="D161" s="21">
        <v>4</v>
      </c>
      <c r="E161" s="19" t="s">
        <v>127</v>
      </c>
      <c r="F161">
        <v>100</v>
      </c>
      <c r="G161" s="2">
        <v>6.2110000000000003</v>
      </c>
      <c r="H161" s="14" t="s">
        <v>66</v>
      </c>
      <c r="I161" s="4" t="s">
        <v>20</v>
      </c>
      <c r="J161" s="21">
        <v>4</v>
      </c>
      <c r="K161" s="21">
        <v>7</v>
      </c>
      <c r="L161" s="17">
        <v>43.2</v>
      </c>
      <c r="M161">
        <v>1.5</v>
      </c>
      <c r="N161">
        <v>30</v>
      </c>
      <c r="O161">
        <f t="shared" si="8"/>
        <v>25.299999999999997</v>
      </c>
      <c r="P161">
        <f t="shared" si="9"/>
        <v>57.831325301204814</v>
      </c>
      <c r="Q161">
        <f t="shared" si="10"/>
        <v>2.0080321285140563</v>
      </c>
      <c r="R161">
        <f t="shared" si="11"/>
        <v>40.160642570281126</v>
      </c>
      <c r="AC161" t="s">
        <v>85</v>
      </c>
      <c r="AD161" t="s">
        <v>85</v>
      </c>
    </row>
    <row r="162" spans="1:30" x14ac:dyDescent="0.35">
      <c r="A162" t="s">
        <v>74</v>
      </c>
      <c r="B162" s="19">
        <v>5</v>
      </c>
      <c r="C162" s="21" t="s">
        <v>127</v>
      </c>
      <c r="D162" s="21">
        <v>4</v>
      </c>
      <c r="E162" s="19" t="s">
        <v>127</v>
      </c>
      <c r="F162">
        <v>60</v>
      </c>
      <c r="G162" s="2">
        <v>8.0649999999999995</v>
      </c>
      <c r="H162" s="14" t="s">
        <v>66</v>
      </c>
      <c r="I162" s="4" t="s">
        <v>20</v>
      </c>
      <c r="J162" s="21">
        <v>5</v>
      </c>
      <c r="K162" s="21">
        <v>7</v>
      </c>
      <c r="L162" s="17">
        <v>43.2</v>
      </c>
      <c r="M162">
        <v>1.5</v>
      </c>
      <c r="N162">
        <v>30</v>
      </c>
      <c r="O162">
        <f t="shared" si="8"/>
        <v>25.299999999999997</v>
      </c>
      <c r="P162">
        <f t="shared" si="9"/>
        <v>57.831325301204814</v>
      </c>
      <c r="Q162">
        <f t="shared" si="10"/>
        <v>2.0080321285140563</v>
      </c>
      <c r="R162">
        <f t="shared" si="11"/>
        <v>40.160642570281126</v>
      </c>
      <c r="AC162" t="s">
        <v>85</v>
      </c>
      <c r="AD162" t="s">
        <v>85</v>
      </c>
    </row>
    <row r="163" spans="1:30" x14ac:dyDescent="0.35">
      <c r="A163" t="s">
        <v>78</v>
      </c>
      <c r="B163" s="19">
        <v>1</v>
      </c>
      <c r="C163" s="19" t="s">
        <v>126</v>
      </c>
      <c r="D163" s="19">
        <v>3</v>
      </c>
      <c r="E163" s="19" t="s">
        <v>126</v>
      </c>
      <c r="F163">
        <v>203</v>
      </c>
      <c r="G163" s="2">
        <v>6.5069999999999997</v>
      </c>
      <c r="H163" s="4" t="s">
        <v>63</v>
      </c>
      <c r="I163" s="4" t="s">
        <v>61</v>
      </c>
      <c r="J163" s="21">
        <v>1</v>
      </c>
      <c r="K163" s="21">
        <v>7</v>
      </c>
      <c r="L163" s="17">
        <v>62</v>
      </c>
      <c r="M163">
        <v>0.1</v>
      </c>
      <c r="N163">
        <v>18</v>
      </c>
      <c r="O163">
        <f t="shared" si="8"/>
        <v>19.899999999999999</v>
      </c>
      <c r="P163">
        <f t="shared" si="9"/>
        <v>77.403245942571786</v>
      </c>
      <c r="Q163">
        <f t="shared" si="10"/>
        <v>0.1248439450686642</v>
      </c>
      <c r="R163">
        <f t="shared" si="11"/>
        <v>22.471910112359552</v>
      </c>
      <c r="AC163" t="s">
        <v>85</v>
      </c>
      <c r="AD163" t="s">
        <v>85</v>
      </c>
    </row>
    <row r="164" spans="1:30" x14ac:dyDescent="0.35">
      <c r="A164" t="s">
        <v>78</v>
      </c>
      <c r="B164" s="19">
        <v>2</v>
      </c>
      <c r="C164" s="19" t="s">
        <v>126</v>
      </c>
      <c r="D164" s="19">
        <v>3</v>
      </c>
      <c r="E164" s="19" t="s">
        <v>126</v>
      </c>
      <c r="F164">
        <v>90</v>
      </c>
      <c r="G164" s="2">
        <v>4.8289999999999997</v>
      </c>
      <c r="H164" s="4" t="s">
        <v>63</v>
      </c>
      <c r="I164" s="4" t="s">
        <v>61</v>
      </c>
      <c r="J164" s="21">
        <v>2</v>
      </c>
      <c r="K164" s="21">
        <v>7</v>
      </c>
      <c r="L164" s="17">
        <v>62</v>
      </c>
      <c r="M164">
        <v>0.1</v>
      </c>
      <c r="N164">
        <v>18</v>
      </c>
      <c r="O164">
        <f t="shared" si="8"/>
        <v>19.899999999999999</v>
      </c>
      <c r="P164">
        <f t="shared" si="9"/>
        <v>77.403245942571786</v>
      </c>
      <c r="Q164">
        <f t="shared" si="10"/>
        <v>0.1248439450686642</v>
      </c>
      <c r="R164">
        <f t="shared" si="11"/>
        <v>22.471910112359552</v>
      </c>
      <c r="AC164" t="s">
        <v>85</v>
      </c>
      <c r="AD164" t="s">
        <v>85</v>
      </c>
    </row>
    <row r="165" spans="1:30" x14ac:dyDescent="0.35">
      <c r="A165" t="s">
        <v>78</v>
      </c>
      <c r="B165" s="19">
        <v>3</v>
      </c>
      <c r="C165" s="19" t="s">
        <v>126</v>
      </c>
      <c r="D165" s="19">
        <v>3</v>
      </c>
      <c r="E165" s="19" t="s">
        <v>126</v>
      </c>
      <c r="F165">
        <v>54</v>
      </c>
      <c r="G165" s="2">
        <v>4.8609999999999998</v>
      </c>
      <c r="H165" s="4" t="s">
        <v>63</v>
      </c>
      <c r="I165" s="4" t="s">
        <v>61</v>
      </c>
      <c r="J165" s="21">
        <v>3</v>
      </c>
      <c r="K165" s="21">
        <v>7</v>
      </c>
      <c r="L165" s="17">
        <v>62</v>
      </c>
      <c r="M165">
        <v>0.1</v>
      </c>
      <c r="N165">
        <v>18</v>
      </c>
      <c r="O165">
        <f t="shared" si="8"/>
        <v>19.899999999999999</v>
      </c>
      <c r="P165">
        <f t="shared" si="9"/>
        <v>77.403245942571786</v>
      </c>
      <c r="Q165">
        <f t="shared" si="10"/>
        <v>0.1248439450686642</v>
      </c>
      <c r="R165">
        <f t="shared" si="11"/>
        <v>22.471910112359552</v>
      </c>
      <c r="AC165" t="s">
        <v>85</v>
      </c>
      <c r="AD165" t="s">
        <v>85</v>
      </c>
    </row>
    <row r="166" spans="1:30" x14ac:dyDescent="0.35">
      <c r="A166" t="s">
        <v>78</v>
      </c>
      <c r="B166" s="19">
        <v>4</v>
      </c>
      <c r="C166" s="19" t="s">
        <v>126</v>
      </c>
      <c r="D166" s="19">
        <v>3</v>
      </c>
      <c r="E166" s="19" t="s">
        <v>126</v>
      </c>
      <c r="F166">
        <v>91</v>
      </c>
      <c r="G166" s="2">
        <v>5.5960000000000001</v>
      </c>
      <c r="H166" s="4" t="s">
        <v>63</v>
      </c>
      <c r="I166" s="4" t="s">
        <v>61</v>
      </c>
      <c r="J166" s="21">
        <v>4</v>
      </c>
      <c r="K166" s="21">
        <v>7</v>
      </c>
      <c r="L166" s="17">
        <v>62</v>
      </c>
      <c r="M166">
        <v>0.1</v>
      </c>
      <c r="N166">
        <v>18</v>
      </c>
      <c r="O166">
        <f t="shared" si="8"/>
        <v>19.899999999999999</v>
      </c>
      <c r="P166">
        <f t="shared" si="9"/>
        <v>77.403245942571786</v>
      </c>
      <c r="Q166">
        <f t="shared" si="10"/>
        <v>0.1248439450686642</v>
      </c>
      <c r="R166">
        <f t="shared" si="11"/>
        <v>22.471910112359552</v>
      </c>
      <c r="AC166" t="s">
        <v>85</v>
      </c>
      <c r="AD166" t="s">
        <v>85</v>
      </c>
    </row>
    <row r="167" spans="1:30" x14ac:dyDescent="0.35">
      <c r="A167" t="s">
        <v>78</v>
      </c>
      <c r="B167" s="19">
        <v>5</v>
      </c>
      <c r="C167" s="19" t="s">
        <v>126</v>
      </c>
      <c r="D167" s="19">
        <v>3</v>
      </c>
      <c r="E167" s="19" t="s">
        <v>126</v>
      </c>
      <c r="F167">
        <v>128</v>
      </c>
      <c r="G167" s="2">
        <v>4.7050000000000001</v>
      </c>
      <c r="H167" s="4" t="s">
        <v>63</v>
      </c>
      <c r="I167" s="4" t="s">
        <v>61</v>
      </c>
      <c r="J167" s="21">
        <v>5</v>
      </c>
      <c r="K167" s="21">
        <v>7</v>
      </c>
      <c r="L167" s="17">
        <v>62</v>
      </c>
      <c r="M167">
        <v>0.1</v>
      </c>
      <c r="N167">
        <v>18</v>
      </c>
      <c r="O167">
        <f t="shared" si="8"/>
        <v>19.899999999999999</v>
      </c>
      <c r="P167">
        <f t="shared" si="9"/>
        <v>77.403245942571786</v>
      </c>
      <c r="Q167">
        <f t="shared" si="10"/>
        <v>0.1248439450686642</v>
      </c>
      <c r="R167">
        <f t="shared" si="11"/>
        <v>22.471910112359552</v>
      </c>
      <c r="AC167" t="s">
        <v>85</v>
      </c>
      <c r="AD167" t="s">
        <v>85</v>
      </c>
    </row>
    <row r="168" spans="1:30" x14ac:dyDescent="0.35">
      <c r="A168" t="s">
        <v>7</v>
      </c>
      <c r="B168" s="19">
        <v>1</v>
      </c>
      <c r="C168" s="19" t="s">
        <v>127</v>
      </c>
      <c r="D168" s="19">
        <v>4</v>
      </c>
      <c r="E168" s="19" t="s">
        <v>127</v>
      </c>
      <c r="F168">
        <v>162</v>
      </c>
      <c r="G168" s="2">
        <v>4.8579999999999997</v>
      </c>
      <c r="H168" s="14" t="s">
        <v>66</v>
      </c>
      <c r="I168" s="4" t="s">
        <v>20</v>
      </c>
      <c r="J168" s="21">
        <v>1</v>
      </c>
      <c r="K168" s="21">
        <v>7</v>
      </c>
      <c r="L168" s="17">
        <v>12.5</v>
      </c>
      <c r="M168">
        <v>2.2000000000000002</v>
      </c>
      <c r="N168">
        <v>57</v>
      </c>
      <c r="O168">
        <f t="shared" si="8"/>
        <v>28.299999999999997</v>
      </c>
      <c r="P168">
        <f t="shared" si="9"/>
        <v>17.433751743375172</v>
      </c>
      <c r="Q168">
        <f t="shared" si="10"/>
        <v>3.0683403068340307</v>
      </c>
      <c r="R168">
        <f t="shared" si="11"/>
        <v>79.497907949790786</v>
      </c>
      <c r="S168" s="4">
        <v>0.24120006028366225</v>
      </c>
      <c r="T168" s="4">
        <v>6.5121076107156367E-2</v>
      </c>
      <c r="U168" s="4">
        <v>1.5869075786113878</v>
      </c>
      <c r="V168" s="4">
        <v>0.34594291017033141</v>
      </c>
      <c r="W168" s="4">
        <v>4.8325031449853235E-2</v>
      </c>
      <c r="X168" s="4">
        <v>2.2874966566223911</v>
      </c>
      <c r="Y168" s="4">
        <v>26.39168921687439</v>
      </c>
      <c r="AC168" t="s">
        <v>85</v>
      </c>
      <c r="AD168" t="s">
        <v>85</v>
      </c>
    </row>
    <row r="169" spans="1:30" x14ac:dyDescent="0.35">
      <c r="A169" t="s">
        <v>7</v>
      </c>
      <c r="B169" s="19">
        <v>2</v>
      </c>
      <c r="C169" s="19" t="s">
        <v>127</v>
      </c>
      <c r="D169" s="19">
        <v>4</v>
      </c>
      <c r="E169" s="19" t="s">
        <v>127</v>
      </c>
      <c r="F169">
        <v>37</v>
      </c>
      <c r="G169" s="2">
        <v>2.056</v>
      </c>
      <c r="H169" s="14" t="s">
        <v>66</v>
      </c>
      <c r="I169" s="4" t="s">
        <v>20</v>
      </c>
      <c r="J169" s="21">
        <v>2</v>
      </c>
      <c r="K169" s="21">
        <v>7</v>
      </c>
      <c r="L169" s="17">
        <v>12.5</v>
      </c>
      <c r="M169">
        <v>2.2000000000000002</v>
      </c>
      <c r="N169">
        <v>57</v>
      </c>
      <c r="O169">
        <f t="shared" si="8"/>
        <v>28.299999999999997</v>
      </c>
      <c r="P169">
        <f t="shared" si="9"/>
        <v>17.433751743375172</v>
      </c>
      <c r="Q169">
        <f t="shared" si="10"/>
        <v>3.0683403068340307</v>
      </c>
      <c r="R169">
        <f t="shared" si="11"/>
        <v>79.497907949790786</v>
      </c>
      <c r="S169" s="4">
        <v>0.53811540694981874</v>
      </c>
      <c r="T169" s="4">
        <v>9.9259867684253072E-2</v>
      </c>
      <c r="U169" s="4">
        <v>1.7803243597289018</v>
      </c>
      <c r="V169" s="4">
        <v>0.36312709755717854</v>
      </c>
      <c r="W169" s="4">
        <v>3.6775680356944014E-2</v>
      </c>
      <c r="X169" s="4">
        <v>2.8176024122770964</v>
      </c>
      <c r="Y169" s="4">
        <v>28.336937432496342</v>
      </c>
      <c r="AC169" t="s">
        <v>85</v>
      </c>
      <c r="AD169" t="s">
        <v>85</v>
      </c>
    </row>
    <row r="170" spans="1:30" x14ac:dyDescent="0.35">
      <c r="A170" t="s">
        <v>7</v>
      </c>
      <c r="B170" s="19">
        <v>3</v>
      </c>
      <c r="C170" s="19" t="s">
        <v>127</v>
      </c>
      <c r="D170" s="19">
        <v>4</v>
      </c>
      <c r="E170" s="19" t="s">
        <v>127</v>
      </c>
      <c r="F170">
        <v>85</v>
      </c>
      <c r="G170" s="2">
        <v>5.601</v>
      </c>
      <c r="H170" s="14" t="s">
        <v>66</v>
      </c>
      <c r="I170" s="4" t="s">
        <v>20</v>
      </c>
      <c r="J170" s="21">
        <v>3</v>
      </c>
      <c r="K170" s="21">
        <v>7</v>
      </c>
      <c r="L170" s="17">
        <v>12.5</v>
      </c>
      <c r="M170">
        <v>2.2000000000000002</v>
      </c>
      <c r="N170">
        <v>57</v>
      </c>
      <c r="O170">
        <f t="shared" si="8"/>
        <v>28.299999999999997</v>
      </c>
      <c r="P170">
        <f t="shared" si="9"/>
        <v>17.433751743375172</v>
      </c>
      <c r="Q170">
        <f t="shared" si="10"/>
        <v>3.0683403068340307</v>
      </c>
      <c r="R170">
        <f t="shared" si="11"/>
        <v>79.497907949790786</v>
      </c>
      <c r="S170" s="4">
        <v>0.23030248628471905</v>
      </c>
      <c r="T170" s="4">
        <v>7.2108585358951247E-2</v>
      </c>
      <c r="U170" s="4">
        <v>1.5793625780969531</v>
      </c>
      <c r="V170" s="4">
        <v>0.32023418010811716</v>
      </c>
      <c r="W170" s="4">
        <v>2.433774493111952E-2</v>
      </c>
      <c r="X170" s="4">
        <v>2.2263455747798599</v>
      </c>
      <c r="Y170" s="4">
        <v>20.37512830498261</v>
      </c>
      <c r="AC170" t="s">
        <v>85</v>
      </c>
      <c r="AD170" t="s">
        <v>85</v>
      </c>
    </row>
    <row r="171" spans="1:30" x14ac:dyDescent="0.35">
      <c r="A171" t="s">
        <v>7</v>
      </c>
      <c r="B171" s="19">
        <v>4</v>
      </c>
      <c r="C171" s="19" t="s">
        <v>127</v>
      </c>
      <c r="D171" s="19">
        <v>4</v>
      </c>
      <c r="E171" s="19" t="s">
        <v>127</v>
      </c>
      <c r="F171">
        <v>122</v>
      </c>
      <c r="G171" s="2">
        <v>3.8860000000000001</v>
      </c>
      <c r="H171" s="14" t="s">
        <v>66</v>
      </c>
      <c r="I171" s="4" t="s">
        <v>20</v>
      </c>
      <c r="J171" s="21">
        <v>4</v>
      </c>
      <c r="K171" s="21">
        <v>7</v>
      </c>
      <c r="L171" s="17">
        <v>12.5</v>
      </c>
      <c r="M171">
        <v>2.2000000000000002</v>
      </c>
      <c r="N171">
        <v>57</v>
      </c>
      <c r="O171">
        <f t="shared" si="8"/>
        <v>28.299999999999997</v>
      </c>
      <c r="P171">
        <f t="shared" si="9"/>
        <v>17.433751743375172</v>
      </c>
      <c r="Q171">
        <f t="shared" si="10"/>
        <v>3.0683403068340307</v>
      </c>
      <c r="R171">
        <f t="shared" si="11"/>
        <v>79.497907949790786</v>
      </c>
      <c r="AC171" t="s">
        <v>85</v>
      </c>
      <c r="AD171" t="s">
        <v>85</v>
      </c>
    </row>
    <row r="172" spans="1:30" x14ac:dyDescent="0.35">
      <c r="A172" t="s">
        <v>7</v>
      </c>
      <c r="B172" s="19">
        <v>5</v>
      </c>
      <c r="C172" s="19" t="s">
        <v>127</v>
      </c>
      <c r="D172" s="19">
        <v>4</v>
      </c>
      <c r="E172" s="19" t="s">
        <v>127</v>
      </c>
      <c r="F172">
        <v>210</v>
      </c>
      <c r="G172" s="2">
        <v>2.774</v>
      </c>
      <c r="H172" s="14" t="s">
        <v>66</v>
      </c>
      <c r="I172" s="4" t="s">
        <v>20</v>
      </c>
      <c r="J172" s="21">
        <v>5</v>
      </c>
      <c r="K172" s="21">
        <v>7</v>
      </c>
      <c r="L172" s="17">
        <v>12.5</v>
      </c>
      <c r="M172">
        <v>2.2000000000000002</v>
      </c>
      <c r="N172">
        <v>57</v>
      </c>
      <c r="O172">
        <f t="shared" si="8"/>
        <v>28.299999999999997</v>
      </c>
      <c r="P172">
        <f t="shared" si="9"/>
        <v>17.433751743375172</v>
      </c>
      <c r="Q172">
        <f t="shared" si="10"/>
        <v>3.0683403068340307</v>
      </c>
      <c r="R172">
        <f t="shared" si="11"/>
        <v>79.497907949790786</v>
      </c>
      <c r="AC172" t="s">
        <v>85</v>
      </c>
      <c r="AD172" t="s">
        <v>85</v>
      </c>
    </row>
    <row r="173" spans="1:30" x14ac:dyDescent="0.35">
      <c r="A173" t="s">
        <v>80</v>
      </c>
      <c r="B173" s="21">
        <v>1</v>
      </c>
      <c r="C173" s="19" t="s">
        <v>127</v>
      </c>
      <c r="D173" s="19">
        <v>4</v>
      </c>
      <c r="E173" s="19" t="s">
        <v>127</v>
      </c>
      <c r="F173">
        <v>72</v>
      </c>
      <c r="G173" s="2">
        <v>0.47499999999999998</v>
      </c>
      <c r="H173" s="14" t="s">
        <v>66</v>
      </c>
      <c r="I173" s="4" t="s">
        <v>19</v>
      </c>
      <c r="J173" s="21">
        <v>1</v>
      </c>
      <c r="K173" s="21">
        <v>7</v>
      </c>
      <c r="L173" s="17"/>
      <c r="M173"/>
      <c r="N173"/>
      <c r="O173"/>
      <c r="P173"/>
      <c r="Q173"/>
      <c r="R173"/>
      <c r="S173" s="4">
        <v>0.19583139527349366</v>
      </c>
      <c r="T173" s="4">
        <v>5.1437512555099069E-2</v>
      </c>
      <c r="U173" s="4">
        <v>2.0025985978580758</v>
      </c>
      <c r="V173" s="4">
        <v>0.37277936557095287</v>
      </c>
      <c r="W173" s="4">
        <v>4.6084191306220601E-2</v>
      </c>
      <c r="X173" s="4">
        <v>2.6687310625638423</v>
      </c>
      <c r="Y173" s="4">
        <v>19.258555539469832</v>
      </c>
      <c r="AC173" t="s">
        <v>87</v>
      </c>
      <c r="AD173" t="s">
        <v>87</v>
      </c>
    </row>
    <row r="174" spans="1:30" x14ac:dyDescent="0.35">
      <c r="A174" t="s">
        <v>80</v>
      </c>
      <c r="B174" s="21">
        <v>2</v>
      </c>
      <c r="C174" s="19" t="s">
        <v>127</v>
      </c>
      <c r="D174" s="19">
        <v>4</v>
      </c>
      <c r="E174" s="19" t="s">
        <v>127</v>
      </c>
      <c r="F174">
        <v>29</v>
      </c>
      <c r="G174" s="2">
        <v>0.628</v>
      </c>
      <c r="H174" s="14" t="s">
        <v>66</v>
      </c>
      <c r="I174" s="4" t="s">
        <v>19</v>
      </c>
      <c r="J174" s="21">
        <v>2</v>
      </c>
      <c r="K174" s="21">
        <v>7</v>
      </c>
      <c r="L174" s="17"/>
      <c r="M174"/>
      <c r="N174"/>
      <c r="O174"/>
      <c r="P174"/>
      <c r="Q174"/>
      <c r="R174"/>
      <c r="S174" s="4">
        <v>0.23723008883565841</v>
      </c>
      <c r="T174" s="4">
        <v>4.666102916940186E-2</v>
      </c>
      <c r="U174" s="4">
        <v>1.6956381758675088</v>
      </c>
      <c r="V174" s="4">
        <v>0.26485286848739703</v>
      </c>
      <c r="W174" s="4">
        <v>6.7073724891863321E-2</v>
      </c>
      <c r="X174" s="4">
        <v>2.3114558872518294</v>
      </c>
      <c r="Y174" s="4">
        <v>15.426134957376034</v>
      </c>
      <c r="AC174" t="s">
        <v>87</v>
      </c>
      <c r="AD174" t="s">
        <v>87</v>
      </c>
    </row>
    <row r="175" spans="1:30" x14ac:dyDescent="0.35">
      <c r="A175" t="s">
        <v>80</v>
      </c>
      <c r="B175" s="21">
        <v>3</v>
      </c>
      <c r="C175" s="19" t="s">
        <v>127</v>
      </c>
      <c r="D175" s="19">
        <v>4</v>
      </c>
      <c r="E175" s="19" t="s">
        <v>127</v>
      </c>
      <c r="F175">
        <v>244</v>
      </c>
      <c r="G175" s="2">
        <v>4.0460000000000003</v>
      </c>
      <c r="H175" s="14" t="s">
        <v>66</v>
      </c>
      <c r="I175" s="4" t="s">
        <v>19</v>
      </c>
      <c r="J175" s="21">
        <v>3</v>
      </c>
      <c r="K175" s="21">
        <v>7</v>
      </c>
      <c r="L175" s="17"/>
      <c r="M175"/>
      <c r="N175"/>
      <c r="O175"/>
      <c r="P175"/>
      <c r="Q175"/>
      <c r="R175"/>
      <c r="S175" s="4">
        <v>0.17952901385682735</v>
      </c>
      <c r="T175" s="4">
        <v>7.8718359131782836E-2</v>
      </c>
      <c r="U175" s="4">
        <v>1.3156020259319339</v>
      </c>
      <c r="V175" s="4">
        <v>0.23834433342060798</v>
      </c>
      <c r="W175" s="4">
        <v>3.0111704581363204E-2</v>
      </c>
      <c r="X175" s="4">
        <v>1.8423054369225151</v>
      </c>
      <c r="Y175" s="4">
        <v>11.010052657184145</v>
      </c>
      <c r="AC175" t="s">
        <v>87</v>
      </c>
      <c r="AD175" t="s">
        <v>87</v>
      </c>
    </row>
    <row r="176" spans="1:30" x14ac:dyDescent="0.35">
      <c r="A176" t="s">
        <v>80</v>
      </c>
      <c r="B176" s="21">
        <v>4</v>
      </c>
      <c r="C176" s="19" t="s">
        <v>127</v>
      </c>
      <c r="D176" s="19">
        <v>4</v>
      </c>
      <c r="E176" s="19" t="s">
        <v>127</v>
      </c>
      <c r="F176">
        <v>108</v>
      </c>
      <c r="G176" s="2">
        <v>1.8069999999999999</v>
      </c>
      <c r="H176" s="14" t="s">
        <v>66</v>
      </c>
      <c r="I176" s="4" t="s">
        <v>19</v>
      </c>
      <c r="J176" s="21">
        <v>4</v>
      </c>
      <c r="K176" s="21">
        <v>7</v>
      </c>
      <c r="L176" s="17"/>
      <c r="M176"/>
      <c r="N176"/>
      <c r="O176"/>
      <c r="P176"/>
      <c r="Q176"/>
      <c r="R176"/>
      <c r="AC176" t="s">
        <v>87</v>
      </c>
      <c r="AD176" t="s">
        <v>87</v>
      </c>
    </row>
    <row r="177" spans="1:30" x14ac:dyDescent="0.35">
      <c r="A177" t="s">
        <v>80</v>
      </c>
      <c r="B177" s="21">
        <v>5</v>
      </c>
      <c r="C177" s="19" t="s">
        <v>127</v>
      </c>
      <c r="D177" s="19">
        <v>4</v>
      </c>
      <c r="E177" s="19" t="s">
        <v>127</v>
      </c>
      <c r="F177">
        <v>24</v>
      </c>
      <c r="G177" s="2">
        <v>0.39200000000000002</v>
      </c>
      <c r="H177" s="14" t="s">
        <v>66</v>
      </c>
      <c r="I177" s="4" t="s">
        <v>19</v>
      </c>
      <c r="J177" s="21">
        <v>5</v>
      </c>
      <c r="K177" s="21">
        <v>7</v>
      </c>
      <c r="L177" s="17"/>
      <c r="M177"/>
      <c r="N177"/>
      <c r="O177"/>
      <c r="P177"/>
      <c r="Q177"/>
      <c r="R177"/>
      <c r="AC177" t="s">
        <v>87</v>
      </c>
      <c r="AD177" t="s">
        <v>87</v>
      </c>
    </row>
    <row r="178" spans="1:30" x14ac:dyDescent="0.35">
      <c r="A178" t="s">
        <v>69</v>
      </c>
      <c r="B178" s="19">
        <v>1</v>
      </c>
      <c r="C178" s="19" t="s">
        <v>128</v>
      </c>
      <c r="D178" s="19">
        <v>5</v>
      </c>
      <c r="F178">
        <v>95</v>
      </c>
      <c r="G178" s="6">
        <v>2.3690000000000002</v>
      </c>
      <c r="H178" s="4" t="s">
        <v>67</v>
      </c>
      <c r="I178" s="4" t="s">
        <v>68</v>
      </c>
      <c r="J178" s="19">
        <v>1</v>
      </c>
      <c r="K178" s="19">
        <v>6</v>
      </c>
      <c r="O178"/>
      <c r="P178"/>
      <c r="Q178"/>
      <c r="R178"/>
      <c r="AC178" t="s">
        <v>87</v>
      </c>
      <c r="AD178" t="s">
        <v>87</v>
      </c>
    </row>
    <row r="179" spans="1:30" x14ac:dyDescent="0.35">
      <c r="A179" t="s">
        <v>69</v>
      </c>
      <c r="B179" s="19">
        <v>2</v>
      </c>
      <c r="C179" s="19" t="s">
        <v>128</v>
      </c>
      <c r="D179" s="19">
        <v>5</v>
      </c>
      <c r="F179">
        <v>91</v>
      </c>
      <c r="G179" s="6">
        <v>2.7709999999999999</v>
      </c>
      <c r="H179" s="4" t="s">
        <v>67</v>
      </c>
      <c r="I179" s="4" t="s">
        <v>68</v>
      </c>
      <c r="J179" s="19">
        <v>2</v>
      </c>
      <c r="K179" s="19">
        <v>6</v>
      </c>
      <c r="O179"/>
      <c r="P179"/>
      <c r="Q179"/>
      <c r="R179"/>
      <c r="AC179" t="s">
        <v>87</v>
      </c>
      <c r="AD179" t="s">
        <v>87</v>
      </c>
    </row>
    <row r="180" spans="1:30" x14ac:dyDescent="0.35">
      <c r="A180" t="s">
        <v>69</v>
      </c>
      <c r="B180" s="19">
        <v>3</v>
      </c>
      <c r="C180" s="19" t="s">
        <v>128</v>
      </c>
      <c r="D180" s="19">
        <v>5</v>
      </c>
      <c r="F180">
        <v>99</v>
      </c>
      <c r="G180" s="6">
        <v>1.1779999999999999</v>
      </c>
      <c r="H180" s="4" t="s">
        <v>67</v>
      </c>
      <c r="I180" s="4" t="s">
        <v>68</v>
      </c>
      <c r="J180" s="19">
        <v>3</v>
      </c>
      <c r="K180" s="19">
        <v>6</v>
      </c>
      <c r="O180"/>
      <c r="P180"/>
      <c r="Q180"/>
      <c r="R180"/>
      <c r="AC180" t="s">
        <v>87</v>
      </c>
      <c r="AD180" t="s">
        <v>87</v>
      </c>
    </row>
    <row r="181" spans="1:30" x14ac:dyDescent="0.35">
      <c r="A181" t="s">
        <v>69</v>
      </c>
      <c r="B181" s="19">
        <v>4</v>
      </c>
      <c r="C181" s="19" t="s">
        <v>128</v>
      </c>
      <c r="D181" s="19">
        <v>5</v>
      </c>
      <c r="F181">
        <v>75</v>
      </c>
      <c r="G181" s="6">
        <v>2.9910000000000001</v>
      </c>
      <c r="H181" s="4" t="s">
        <v>67</v>
      </c>
      <c r="I181" s="4" t="s">
        <v>68</v>
      </c>
      <c r="J181" s="19">
        <v>4</v>
      </c>
      <c r="K181" s="19">
        <v>6</v>
      </c>
      <c r="O181"/>
      <c r="P181"/>
      <c r="Q181"/>
      <c r="R181"/>
      <c r="AC181" t="s">
        <v>87</v>
      </c>
      <c r="AD181" t="s">
        <v>87</v>
      </c>
    </row>
    <row r="182" spans="1:30" x14ac:dyDescent="0.35">
      <c r="A182" t="s">
        <v>69</v>
      </c>
      <c r="B182" s="19">
        <v>5</v>
      </c>
      <c r="C182" s="19" t="s">
        <v>128</v>
      </c>
      <c r="D182" s="19">
        <v>5</v>
      </c>
      <c r="F182">
        <v>56</v>
      </c>
      <c r="G182" s="6">
        <v>1.2490000000000001</v>
      </c>
      <c r="H182" s="4" t="s">
        <v>67</v>
      </c>
      <c r="I182" s="4" t="s">
        <v>68</v>
      </c>
      <c r="J182" s="19">
        <v>5</v>
      </c>
      <c r="K182" s="19">
        <v>6</v>
      </c>
      <c r="O182"/>
      <c r="P182"/>
      <c r="Q182"/>
      <c r="R182"/>
      <c r="AC182" t="s">
        <v>87</v>
      </c>
      <c r="AD182" t="s">
        <v>87</v>
      </c>
    </row>
    <row r="183" spans="1:30" x14ac:dyDescent="0.35">
      <c r="A183" t="s">
        <v>69</v>
      </c>
      <c r="B183" s="19">
        <v>6</v>
      </c>
      <c r="C183" s="19" t="s">
        <v>128</v>
      </c>
      <c r="D183" s="19">
        <v>5</v>
      </c>
      <c r="F183">
        <v>104</v>
      </c>
      <c r="G183" s="6">
        <v>2.0379999999999998</v>
      </c>
      <c r="H183" s="4" t="s">
        <v>67</v>
      </c>
      <c r="I183" s="4" t="s">
        <v>68</v>
      </c>
      <c r="J183" s="19">
        <v>6</v>
      </c>
      <c r="K183" s="19">
        <v>6</v>
      </c>
      <c r="O183"/>
      <c r="P183"/>
      <c r="Q183"/>
      <c r="R183"/>
      <c r="AC183" t="s">
        <v>87</v>
      </c>
      <c r="AD183" t="s">
        <v>87</v>
      </c>
    </row>
    <row r="184" spans="1:30" x14ac:dyDescent="0.35">
      <c r="A184" t="s">
        <v>70</v>
      </c>
      <c r="B184" s="19">
        <v>1</v>
      </c>
      <c r="C184" s="19" t="s">
        <v>128</v>
      </c>
      <c r="D184" s="19">
        <v>5</v>
      </c>
      <c r="F184">
        <v>102</v>
      </c>
      <c r="G184" s="6">
        <v>3.831</v>
      </c>
      <c r="H184" s="4" t="s">
        <v>67</v>
      </c>
      <c r="I184" s="4" t="s">
        <v>68</v>
      </c>
      <c r="J184" s="19">
        <v>1</v>
      </c>
      <c r="K184" s="19">
        <v>6</v>
      </c>
      <c r="O184"/>
      <c r="P184"/>
      <c r="Q184"/>
      <c r="R184"/>
      <c r="AC184" t="s">
        <v>87</v>
      </c>
      <c r="AD184" t="s">
        <v>87</v>
      </c>
    </row>
    <row r="185" spans="1:30" x14ac:dyDescent="0.35">
      <c r="A185" t="s">
        <v>70</v>
      </c>
      <c r="B185" s="19">
        <v>2</v>
      </c>
      <c r="C185" s="19" t="s">
        <v>128</v>
      </c>
      <c r="D185" s="19">
        <v>5</v>
      </c>
      <c r="F185">
        <v>45</v>
      </c>
      <c r="G185" s="6">
        <v>2.85</v>
      </c>
      <c r="H185" s="4" t="s">
        <v>67</v>
      </c>
      <c r="I185" s="4" t="s">
        <v>68</v>
      </c>
      <c r="J185" s="19">
        <v>2</v>
      </c>
      <c r="K185" s="19">
        <v>6</v>
      </c>
      <c r="O185"/>
      <c r="P185"/>
      <c r="Q185"/>
      <c r="R185"/>
      <c r="AC185" t="s">
        <v>87</v>
      </c>
      <c r="AD185" t="s">
        <v>87</v>
      </c>
    </row>
    <row r="186" spans="1:30" x14ac:dyDescent="0.35">
      <c r="A186" t="s">
        <v>70</v>
      </c>
      <c r="B186" s="19">
        <v>3</v>
      </c>
      <c r="C186" s="19" t="s">
        <v>128</v>
      </c>
      <c r="D186" s="19">
        <v>5</v>
      </c>
      <c r="F186">
        <v>105</v>
      </c>
      <c r="G186" s="6">
        <v>2.3010000000000002</v>
      </c>
      <c r="H186" s="4" t="s">
        <v>67</v>
      </c>
      <c r="I186" s="4" t="s">
        <v>68</v>
      </c>
      <c r="J186" s="19">
        <v>3</v>
      </c>
      <c r="K186" s="19">
        <v>6</v>
      </c>
      <c r="O186"/>
      <c r="P186"/>
      <c r="Q186"/>
      <c r="R186"/>
      <c r="AC186" t="s">
        <v>87</v>
      </c>
      <c r="AD186" t="s">
        <v>87</v>
      </c>
    </row>
    <row r="187" spans="1:30" x14ac:dyDescent="0.35">
      <c r="A187" t="s">
        <v>70</v>
      </c>
      <c r="B187" s="19">
        <v>4</v>
      </c>
      <c r="C187" s="19" t="s">
        <v>128</v>
      </c>
      <c r="D187" s="19">
        <v>5</v>
      </c>
      <c r="F187">
        <v>104</v>
      </c>
      <c r="G187" s="6">
        <v>1.8720000000000001</v>
      </c>
      <c r="H187" s="4" t="s">
        <v>67</v>
      </c>
      <c r="I187" s="4" t="s">
        <v>68</v>
      </c>
      <c r="J187" s="19">
        <v>4</v>
      </c>
      <c r="K187" s="19">
        <v>6</v>
      </c>
      <c r="O187"/>
      <c r="P187"/>
      <c r="Q187"/>
      <c r="R187"/>
      <c r="AC187" t="s">
        <v>87</v>
      </c>
      <c r="AD187" t="s">
        <v>87</v>
      </c>
    </row>
    <row r="188" spans="1:30" x14ac:dyDescent="0.35">
      <c r="A188" t="s">
        <v>70</v>
      </c>
      <c r="B188" s="19">
        <v>5</v>
      </c>
      <c r="C188" s="19" t="s">
        <v>128</v>
      </c>
      <c r="D188" s="19">
        <v>5</v>
      </c>
      <c r="F188">
        <v>105</v>
      </c>
      <c r="G188" s="6">
        <v>4.9580000000000002</v>
      </c>
      <c r="H188" s="4" t="s">
        <v>67</v>
      </c>
      <c r="I188" s="4" t="s">
        <v>68</v>
      </c>
      <c r="J188" s="19">
        <v>5</v>
      </c>
      <c r="K188" s="19">
        <v>6</v>
      </c>
      <c r="O188"/>
      <c r="P188"/>
      <c r="Q188"/>
      <c r="R188"/>
      <c r="AC188" t="s">
        <v>87</v>
      </c>
      <c r="AD188" t="s">
        <v>87</v>
      </c>
    </row>
    <row r="189" spans="1:30" x14ac:dyDescent="0.35">
      <c r="A189" t="s">
        <v>70</v>
      </c>
      <c r="B189" s="19">
        <v>6</v>
      </c>
      <c r="C189" s="19" t="s">
        <v>128</v>
      </c>
      <c r="D189" s="19">
        <v>5</v>
      </c>
      <c r="F189">
        <v>143</v>
      </c>
      <c r="G189" s="6">
        <v>3.24</v>
      </c>
      <c r="H189" s="4" t="s">
        <v>67</v>
      </c>
      <c r="I189" s="4" t="s">
        <v>68</v>
      </c>
      <c r="J189" s="19">
        <v>6</v>
      </c>
      <c r="K189" s="19">
        <v>6</v>
      </c>
      <c r="O189"/>
      <c r="P189"/>
      <c r="Q189"/>
      <c r="R189"/>
      <c r="AC189" t="s">
        <v>87</v>
      </c>
      <c r="AD189" t="s">
        <v>87</v>
      </c>
    </row>
    <row r="190" spans="1:30" x14ac:dyDescent="0.35">
      <c r="A190" t="s">
        <v>73</v>
      </c>
      <c r="B190" s="19">
        <v>1</v>
      </c>
      <c r="C190" s="19" t="s">
        <v>128</v>
      </c>
      <c r="D190" s="19">
        <v>5</v>
      </c>
      <c r="F190">
        <v>91</v>
      </c>
      <c r="G190" s="6">
        <v>1.7769999999999999</v>
      </c>
      <c r="H190" s="4" t="s">
        <v>67</v>
      </c>
      <c r="I190" s="4" t="s">
        <v>68</v>
      </c>
      <c r="J190" s="19">
        <v>1</v>
      </c>
      <c r="K190" s="19">
        <v>6</v>
      </c>
      <c r="O190"/>
      <c r="P190"/>
      <c r="Q190"/>
      <c r="R190"/>
      <c r="AC190" t="s">
        <v>87</v>
      </c>
      <c r="AD190" t="s">
        <v>87</v>
      </c>
    </row>
    <row r="191" spans="1:30" x14ac:dyDescent="0.35">
      <c r="A191" t="s">
        <v>73</v>
      </c>
      <c r="B191" s="19">
        <v>2</v>
      </c>
      <c r="C191" s="19" t="s">
        <v>128</v>
      </c>
      <c r="D191" s="19">
        <v>5</v>
      </c>
      <c r="F191">
        <v>88</v>
      </c>
      <c r="G191" s="6">
        <v>1.8220000000000001</v>
      </c>
      <c r="H191" s="4" t="s">
        <v>67</v>
      </c>
      <c r="I191" s="4" t="s">
        <v>68</v>
      </c>
      <c r="J191" s="19">
        <v>2</v>
      </c>
      <c r="K191" s="19">
        <v>6</v>
      </c>
      <c r="O191"/>
      <c r="P191"/>
      <c r="Q191"/>
      <c r="R191"/>
      <c r="AC191" t="s">
        <v>87</v>
      </c>
      <c r="AD191" t="s">
        <v>87</v>
      </c>
    </row>
    <row r="192" spans="1:30" x14ac:dyDescent="0.35">
      <c r="A192" t="s">
        <v>73</v>
      </c>
      <c r="B192" s="19">
        <v>3</v>
      </c>
      <c r="C192" s="19" t="s">
        <v>128</v>
      </c>
      <c r="D192" s="19">
        <v>5</v>
      </c>
      <c r="F192">
        <v>126</v>
      </c>
      <c r="G192" s="6">
        <v>2.3170000000000002</v>
      </c>
      <c r="H192" s="4" t="s">
        <v>67</v>
      </c>
      <c r="I192" s="4" t="s">
        <v>68</v>
      </c>
      <c r="J192" s="19">
        <v>3</v>
      </c>
      <c r="K192" s="19">
        <v>6</v>
      </c>
      <c r="O192"/>
      <c r="P192"/>
      <c r="Q192"/>
      <c r="R192"/>
      <c r="AC192" t="s">
        <v>87</v>
      </c>
      <c r="AD192" t="s">
        <v>87</v>
      </c>
    </row>
    <row r="193" spans="1:30" x14ac:dyDescent="0.35">
      <c r="A193" t="s">
        <v>73</v>
      </c>
      <c r="B193" s="19">
        <v>4</v>
      </c>
      <c r="C193" s="19" t="s">
        <v>128</v>
      </c>
      <c r="D193" s="19">
        <v>5</v>
      </c>
      <c r="F193">
        <v>106</v>
      </c>
      <c r="G193" s="6">
        <v>0.33500000000000002</v>
      </c>
      <c r="H193" s="4" t="s">
        <v>67</v>
      </c>
      <c r="I193" s="4" t="s">
        <v>68</v>
      </c>
      <c r="J193" s="19">
        <v>4</v>
      </c>
      <c r="K193" s="19">
        <v>6</v>
      </c>
      <c r="O193"/>
      <c r="P193"/>
      <c r="Q193"/>
      <c r="R193"/>
      <c r="AC193" t="s">
        <v>87</v>
      </c>
      <c r="AD193" t="s">
        <v>87</v>
      </c>
    </row>
    <row r="194" spans="1:30" x14ac:dyDescent="0.35">
      <c r="A194" t="s">
        <v>73</v>
      </c>
      <c r="B194" s="19">
        <v>5</v>
      </c>
      <c r="C194" s="19" t="s">
        <v>128</v>
      </c>
      <c r="D194" s="19">
        <v>5</v>
      </c>
      <c r="F194">
        <v>93</v>
      </c>
      <c r="G194" s="6">
        <v>2.665</v>
      </c>
      <c r="H194" s="4" t="s">
        <v>67</v>
      </c>
      <c r="I194" s="4" t="s">
        <v>68</v>
      </c>
      <c r="J194" s="19">
        <v>5</v>
      </c>
      <c r="K194" s="19">
        <v>6</v>
      </c>
      <c r="O194"/>
      <c r="P194"/>
      <c r="Q194"/>
      <c r="R194"/>
      <c r="AC194" t="s">
        <v>87</v>
      </c>
      <c r="AD194" t="s">
        <v>87</v>
      </c>
    </row>
    <row r="195" spans="1:30" x14ac:dyDescent="0.35">
      <c r="A195" t="s">
        <v>73</v>
      </c>
      <c r="B195" s="19">
        <v>6</v>
      </c>
      <c r="C195" s="19" t="s">
        <v>128</v>
      </c>
      <c r="D195" s="19">
        <v>5</v>
      </c>
      <c r="F195" s="4">
        <v>106</v>
      </c>
      <c r="G195" s="6">
        <v>1.883</v>
      </c>
      <c r="H195" s="4" t="s">
        <v>67</v>
      </c>
      <c r="I195" s="4" t="s">
        <v>68</v>
      </c>
      <c r="J195" s="19">
        <v>6</v>
      </c>
      <c r="K195" s="19">
        <v>6</v>
      </c>
      <c r="O195"/>
      <c r="P195"/>
      <c r="Q195"/>
      <c r="R195"/>
      <c r="AC195" t="s">
        <v>87</v>
      </c>
      <c r="AD195" t="s">
        <v>87</v>
      </c>
    </row>
    <row r="196" spans="1:30" x14ac:dyDescent="0.35">
      <c r="A196" t="s">
        <v>72</v>
      </c>
      <c r="B196" s="19">
        <v>1</v>
      </c>
      <c r="C196" s="19" t="s">
        <v>128</v>
      </c>
      <c r="D196" s="19">
        <v>5</v>
      </c>
      <c r="F196">
        <v>110</v>
      </c>
      <c r="G196" s="6">
        <v>2.1120000000000001</v>
      </c>
      <c r="H196" s="4" t="s">
        <v>67</v>
      </c>
      <c r="I196" s="4" t="s">
        <v>68</v>
      </c>
      <c r="J196" s="19">
        <v>1</v>
      </c>
      <c r="K196" s="19">
        <v>6</v>
      </c>
      <c r="O196"/>
      <c r="P196"/>
      <c r="Q196"/>
      <c r="R196"/>
      <c r="AC196" t="s">
        <v>87</v>
      </c>
      <c r="AD196" t="s">
        <v>87</v>
      </c>
    </row>
    <row r="197" spans="1:30" x14ac:dyDescent="0.35">
      <c r="A197" t="s">
        <v>72</v>
      </c>
      <c r="B197" s="19">
        <v>2</v>
      </c>
      <c r="C197" s="19" t="s">
        <v>128</v>
      </c>
      <c r="D197" s="19">
        <v>5</v>
      </c>
      <c r="F197">
        <v>64</v>
      </c>
      <c r="G197" s="6">
        <v>1.774</v>
      </c>
      <c r="H197" s="4" t="s">
        <v>67</v>
      </c>
      <c r="I197" s="4" t="s">
        <v>68</v>
      </c>
      <c r="J197" s="19">
        <v>2</v>
      </c>
      <c r="K197" s="19">
        <v>6</v>
      </c>
      <c r="O197"/>
      <c r="P197"/>
      <c r="Q197"/>
      <c r="R197"/>
      <c r="AC197" t="s">
        <v>87</v>
      </c>
      <c r="AD197" t="s">
        <v>87</v>
      </c>
    </row>
    <row r="198" spans="1:30" x14ac:dyDescent="0.35">
      <c r="A198" t="s">
        <v>72</v>
      </c>
      <c r="B198" s="19">
        <v>3</v>
      </c>
      <c r="C198" s="19" t="s">
        <v>128</v>
      </c>
      <c r="D198" s="19">
        <v>5</v>
      </c>
      <c r="F198">
        <v>107</v>
      </c>
      <c r="G198" s="6">
        <v>2.62</v>
      </c>
      <c r="H198" s="4" t="s">
        <v>67</v>
      </c>
      <c r="I198" s="4" t="s">
        <v>68</v>
      </c>
      <c r="J198" s="19">
        <v>3</v>
      </c>
      <c r="K198" s="19">
        <v>6</v>
      </c>
      <c r="O198"/>
      <c r="P198"/>
      <c r="Q198"/>
      <c r="R198"/>
      <c r="AC198" t="s">
        <v>87</v>
      </c>
      <c r="AD198" t="s">
        <v>87</v>
      </c>
    </row>
    <row r="199" spans="1:30" x14ac:dyDescent="0.35">
      <c r="A199" t="s">
        <v>72</v>
      </c>
      <c r="B199" s="19">
        <v>4</v>
      </c>
      <c r="C199" s="19" t="s">
        <v>128</v>
      </c>
      <c r="D199" s="19">
        <v>5</v>
      </c>
      <c r="F199">
        <v>68</v>
      </c>
      <c r="G199" s="6">
        <v>1.792</v>
      </c>
      <c r="H199" s="4" t="s">
        <v>67</v>
      </c>
      <c r="I199" s="4" t="s">
        <v>68</v>
      </c>
      <c r="J199" s="19">
        <v>4</v>
      </c>
      <c r="K199" s="19">
        <v>6</v>
      </c>
      <c r="O199"/>
      <c r="P199"/>
      <c r="Q199"/>
      <c r="R199"/>
      <c r="AC199" t="s">
        <v>87</v>
      </c>
      <c r="AD199" t="s">
        <v>87</v>
      </c>
    </row>
    <row r="200" spans="1:30" x14ac:dyDescent="0.35">
      <c r="A200" t="s">
        <v>72</v>
      </c>
      <c r="B200" s="19">
        <v>5</v>
      </c>
      <c r="C200" s="19" t="s">
        <v>128</v>
      </c>
      <c r="D200" s="19">
        <v>5</v>
      </c>
      <c r="F200">
        <v>66</v>
      </c>
      <c r="G200" s="6">
        <v>1.1839999999999999</v>
      </c>
      <c r="H200" s="4" t="s">
        <v>67</v>
      </c>
      <c r="I200" s="4" t="s">
        <v>68</v>
      </c>
      <c r="J200" s="19">
        <v>5</v>
      </c>
      <c r="K200" s="19">
        <v>6</v>
      </c>
      <c r="O200"/>
      <c r="P200"/>
      <c r="Q200"/>
      <c r="R200"/>
      <c r="AC200" t="s">
        <v>87</v>
      </c>
      <c r="AD200" t="s">
        <v>87</v>
      </c>
    </row>
    <row r="201" spans="1:30" x14ac:dyDescent="0.35">
      <c r="A201" t="s">
        <v>72</v>
      </c>
      <c r="B201" s="19">
        <v>6</v>
      </c>
      <c r="C201" s="19" t="s">
        <v>128</v>
      </c>
      <c r="D201" s="19">
        <v>5</v>
      </c>
      <c r="F201">
        <v>59</v>
      </c>
      <c r="G201" s="6">
        <v>1.978</v>
      </c>
      <c r="H201" s="4" t="s">
        <v>67</v>
      </c>
      <c r="I201" s="4" t="s">
        <v>68</v>
      </c>
      <c r="J201" s="19">
        <v>6</v>
      </c>
      <c r="K201" s="19">
        <v>6</v>
      </c>
      <c r="O201"/>
      <c r="P201"/>
      <c r="Q201"/>
      <c r="R201"/>
      <c r="AC201" t="s">
        <v>87</v>
      </c>
      <c r="AD201" t="s">
        <v>87</v>
      </c>
    </row>
    <row r="202" spans="1:30" x14ac:dyDescent="0.35">
      <c r="A202" t="s">
        <v>71</v>
      </c>
      <c r="B202" s="19">
        <v>1</v>
      </c>
      <c r="C202" s="19" t="s">
        <v>128</v>
      </c>
      <c r="D202" s="19">
        <v>5</v>
      </c>
      <c r="F202">
        <v>71</v>
      </c>
      <c r="G202" s="6">
        <v>2.0760000000000001</v>
      </c>
      <c r="H202" s="4" t="s">
        <v>67</v>
      </c>
      <c r="I202" s="4" t="s">
        <v>68</v>
      </c>
      <c r="J202" s="19">
        <v>1</v>
      </c>
      <c r="K202" s="19">
        <v>6</v>
      </c>
      <c r="O202"/>
      <c r="P202"/>
      <c r="Q202"/>
      <c r="R202"/>
      <c r="AC202" t="s">
        <v>87</v>
      </c>
      <c r="AD202" t="s">
        <v>87</v>
      </c>
    </row>
    <row r="203" spans="1:30" x14ac:dyDescent="0.35">
      <c r="A203" t="s">
        <v>71</v>
      </c>
      <c r="B203" s="19">
        <v>2</v>
      </c>
      <c r="C203" s="19" t="s">
        <v>128</v>
      </c>
      <c r="D203" s="19">
        <v>5</v>
      </c>
      <c r="F203">
        <v>78</v>
      </c>
      <c r="G203" s="6">
        <v>1.92</v>
      </c>
      <c r="H203" s="4" t="s">
        <v>67</v>
      </c>
      <c r="I203" s="4" t="s">
        <v>68</v>
      </c>
      <c r="J203" s="19">
        <v>2</v>
      </c>
      <c r="K203" s="19">
        <v>6</v>
      </c>
      <c r="O203"/>
      <c r="P203"/>
      <c r="Q203"/>
      <c r="R203"/>
      <c r="AC203" t="s">
        <v>87</v>
      </c>
      <c r="AD203" t="s">
        <v>87</v>
      </c>
    </row>
    <row r="204" spans="1:30" x14ac:dyDescent="0.35">
      <c r="A204" t="s">
        <v>71</v>
      </c>
      <c r="B204" s="19">
        <v>3</v>
      </c>
      <c r="C204" s="19" t="s">
        <v>128</v>
      </c>
      <c r="D204" s="19">
        <v>5</v>
      </c>
      <c r="F204">
        <v>160</v>
      </c>
      <c r="G204" s="6">
        <v>4.5170000000000003</v>
      </c>
      <c r="H204" s="4" t="s">
        <v>67</v>
      </c>
      <c r="I204" s="4" t="s">
        <v>68</v>
      </c>
      <c r="J204" s="19">
        <v>3</v>
      </c>
      <c r="K204" s="19">
        <v>6</v>
      </c>
      <c r="O204"/>
      <c r="P204"/>
      <c r="Q204"/>
      <c r="R204"/>
      <c r="AC204" t="s">
        <v>87</v>
      </c>
      <c r="AD204" t="s">
        <v>87</v>
      </c>
    </row>
    <row r="205" spans="1:30" x14ac:dyDescent="0.35">
      <c r="A205" t="s">
        <v>71</v>
      </c>
      <c r="B205" s="19">
        <v>4</v>
      </c>
      <c r="C205" s="19" t="s">
        <v>128</v>
      </c>
      <c r="D205" s="19">
        <v>5</v>
      </c>
      <c r="F205">
        <v>94</v>
      </c>
      <c r="G205" s="6">
        <v>1.468</v>
      </c>
      <c r="H205" s="4" t="s">
        <v>67</v>
      </c>
      <c r="I205" s="4" t="s">
        <v>68</v>
      </c>
      <c r="J205" s="19">
        <v>4</v>
      </c>
      <c r="K205" s="19">
        <v>6</v>
      </c>
      <c r="O205"/>
      <c r="P205"/>
      <c r="Q205"/>
      <c r="R205"/>
      <c r="AC205" t="s">
        <v>87</v>
      </c>
      <c r="AD205" t="s">
        <v>87</v>
      </c>
    </row>
    <row r="206" spans="1:30" x14ac:dyDescent="0.35">
      <c r="A206" t="s">
        <v>71</v>
      </c>
      <c r="B206" s="19">
        <v>5</v>
      </c>
      <c r="C206" s="19" t="s">
        <v>128</v>
      </c>
      <c r="D206" s="19">
        <v>5</v>
      </c>
      <c r="F206">
        <v>49</v>
      </c>
      <c r="G206" s="6">
        <v>1.8320000000000001</v>
      </c>
      <c r="H206" s="4" t="s">
        <v>67</v>
      </c>
      <c r="I206" s="4" t="s">
        <v>68</v>
      </c>
      <c r="J206" s="19">
        <v>5</v>
      </c>
      <c r="K206" s="19">
        <v>6</v>
      </c>
      <c r="O206"/>
      <c r="P206"/>
      <c r="Q206"/>
      <c r="R206"/>
      <c r="AC206" t="s">
        <v>87</v>
      </c>
      <c r="AD206" t="s">
        <v>87</v>
      </c>
    </row>
    <row r="207" spans="1:30" x14ac:dyDescent="0.35">
      <c r="A207" t="s">
        <v>71</v>
      </c>
      <c r="B207" s="19">
        <v>6</v>
      </c>
      <c r="C207" s="19" t="s">
        <v>128</v>
      </c>
      <c r="D207" s="19">
        <v>5</v>
      </c>
      <c r="F207">
        <v>93</v>
      </c>
      <c r="G207" s="6">
        <v>1.845</v>
      </c>
      <c r="H207" s="4" t="s">
        <v>67</v>
      </c>
      <c r="I207" s="4" t="s">
        <v>68</v>
      </c>
      <c r="J207" s="19">
        <v>6</v>
      </c>
      <c r="K207" s="19">
        <v>6</v>
      </c>
      <c r="O207"/>
      <c r="P207"/>
      <c r="Q207"/>
      <c r="R207"/>
      <c r="AC207" t="s">
        <v>87</v>
      </c>
      <c r="AD207" t="s">
        <v>87</v>
      </c>
    </row>
    <row r="208" spans="1:30" x14ac:dyDescent="0.35">
      <c r="A208" t="s">
        <v>100</v>
      </c>
      <c r="B208" s="19">
        <v>1</v>
      </c>
      <c r="C208" s="19" t="s">
        <v>129</v>
      </c>
      <c r="D208" s="19">
        <v>6</v>
      </c>
      <c r="E208" s="19" t="s">
        <v>128</v>
      </c>
      <c r="F208">
        <v>333</v>
      </c>
      <c r="G208">
        <v>3.5790000000000002</v>
      </c>
      <c r="H208" s="4" t="s">
        <v>63</v>
      </c>
      <c r="I208" s="4" t="s">
        <v>61</v>
      </c>
      <c r="J208" s="19" t="s">
        <v>101</v>
      </c>
      <c r="K208" s="19">
        <v>6</v>
      </c>
      <c r="O208"/>
      <c r="P208"/>
      <c r="Q208"/>
      <c r="R208"/>
      <c r="AC208" t="s">
        <v>85</v>
      </c>
      <c r="AD208" t="s">
        <v>87</v>
      </c>
    </row>
    <row r="209" spans="1:30" x14ac:dyDescent="0.35">
      <c r="A209" t="s">
        <v>100</v>
      </c>
      <c r="B209" s="19">
        <v>2</v>
      </c>
      <c r="C209" s="19" t="s">
        <v>129</v>
      </c>
      <c r="D209" s="19">
        <v>6</v>
      </c>
      <c r="E209" s="19" t="s">
        <v>128</v>
      </c>
      <c r="F209">
        <v>182</v>
      </c>
      <c r="G209">
        <v>0.93600000000000005</v>
      </c>
      <c r="H209" s="4" t="s">
        <v>63</v>
      </c>
      <c r="I209" s="4" t="s">
        <v>61</v>
      </c>
      <c r="J209" s="19" t="s">
        <v>102</v>
      </c>
      <c r="K209" s="19">
        <v>6</v>
      </c>
      <c r="O209"/>
      <c r="P209"/>
      <c r="Q209"/>
      <c r="R209"/>
      <c r="AC209" t="s">
        <v>85</v>
      </c>
      <c r="AD209" t="s">
        <v>87</v>
      </c>
    </row>
    <row r="210" spans="1:30" x14ac:dyDescent="0.35">
      <c r="A210" t="s">
        <v>100</v>
      </c>
      <c r="B210" s="19">
        <v>3</v>
      </c>
      <c r="C210" s="19" t="s">
        <v>129</v>
      </c>
      <c r="D210" s="19">
        <v>6</v>
      </c>
      <c r="E210" s="19" t="s">
        <v>128</v>
      </c>
      <c r="F210">
        <v>250</v>
      </c>
      <c r="G210">
        <v>1.4079999999999999</v>
      </c>
      <c r="H210" s="4" t="s">
        <v>63</v>
      </c>
      <c r="I210" s="4" t="s">
        <v>61</v>
      </c>
      <c r="J210" s="19" t="s">
        <v>103</v>
      </c>
      <c r="K210" s="19">
        <v>6</v>
      </c>
      <c r="O210"/>
      <c r="P210"/>
      <c r="Q210"/>
      <c r="R210"/>
      <c r="AC210" t="s">
        <v>85</v>
      </c>
      <c r="AD210" t="s">
        <v>87</v>
      </c>
    </row>
    <row r="211" spans="1:30" x14ac:dyDescent="0.35">
      <c r="A211" t="s">
        <v>100</v>
      </c>
      <c r="B211" s="19">
        <v>4</v>
      </c>
      <c r="C211" s="19" t="s">
        <v>129</v>
      </c>
      <c r="D211" s="19">
        <v>6</v>
      </c>
      <c r="E211" s="19" t="s">
        <v>128</v>
      </c>
      <c r="F211">
        <v>314</v>
      </c>
      <c r="G211">
        <v>1.2490000000000001</v>
      </c>
      <c r="H211" s="4" t="s">
        <v>63</v>
      </c>
      <c r="I211" s="4" t="s">
        <v>61</v>
      </c>
      <c r="J211" s="19" t="s">
        <v>104</v>
      </c>
      <c r="K211" s="19">
        <v>6</v>
      </c>
      <c r="O211"/>
      <c r="P211"/>
      <c r="Q211"/>
      <c r="R211"/>
      <c r="AC211" t="s">
        <v>85</v>
      </c>
      <c r="AD211" t="s">
        <v>87</v>
      </c>
    </row>
    <row r="212" spans="1:30" x14ac:dyDescent="0.35">
      <c r="A212" t="s">
        <v>100</v>
      </c>
      <c r="B212" s="19">
        <v>5</v>
      </c>
      <c r="C212" s="19" t="s">
        <v>129</v>
      </c>
      <c r="D212" s="19">
        <v>6</v>
      </c>
      <c r="E212" s="19" t="s">
        <v>128</v>
      </c>
      <c r="F212">
        <v>221</v>
      </c>
      <c r="G212">
        <v>1.0680000000000001</v>
      </c>
      <c r="H212" s="4" t="s">
        <v>63</v>
      </c>
      <c r="I212" s="4" t="s">
        <v>61</v>
      </c>
      <c r="J212" s="19" t="s">
        <v>105</v>
      </c>
      <c r="K212" s="19">
        <v>6</v>
      </c>
      <c r="O212"/>
      <c r="P212"/>
      <c r="Q212"/>
      <c r="R212"/>
      <c r="AC212" t="s">
        <v>85</v>
      </c>
      <c r="AD212" t="s">
        <v>87</v>
      </c>
    </row>
    <row r="213" spans="1:30" x14ac:dyDescent="0.35">
      <c r="A213" t="s">
        <v>100</v>
      </c>
      <c r="B213" s="19">
        <v>6</v>
      </c>
      <c r="C213" s="19" t="s">
        <v>129</v>
      </c>
      <c r="D213" s="19">
        <v>6</v>
      </c>
      <c r="E213" s="19" t="s">
        <v>128</v>
      </c>
      <c r="F213">
        <v>371</v>
      </c>
      <c r="G213">
        <v>1.5069999999999999</v>
      </c>
      <c r="H213" s="4" t="s">
        <v>63</v>
      </c>
      <c r="I213" s="4" t="s">
        <v>61</v>
      </c>
      <c r="J213" s="19" t="s">
        <v>106</v>
      </c>
      <c r="K213" s="19">
        <v>6</v>
      </c>
      <c r="O213"/>
      <c r="P213"/>
      <c r="Q213"/>
      <c r="R213"/>
      <c r="AC213" t="s">
        <v>85</v>
      </c>
      <c r="AD213" t="s">
        <v>87</v>
      </c>
    </row>
    <row r="214" spans="1:30" x14ac:dyDescent="0.35">
      <c r="A214" t="s">
        <v>100</v>
      </c>
      <c r="B214" s="19">
        <v>7</v>
      </c>
      <c r="C214" s="19" t="s">
        <v>129</v>
      </c>
      <c r="D214" s="19">
        <v>6</v>
      </c>
      <c r="E214" s="19" t="s">
        <v>128</v>
      </c>
      <c r="F214">
        <v>177</v>
      </c>
      <c r="G214">
        <v>1.115</v>
      </c>
      <c r="H214" s="4" t="s">
        <v>63</v>
      </c>
      <c r="I214" s="4" t="s">
        <v>61</v>
      </c>
      <c r="J214" s="19" t="s">
        <v>107</v>
      </c>
      <c r="K214" s="19">
        <v>6</v>
      </c>
      <c r="O214"/>
      <c r="P214"/>
      <c r="Q214"/>
      <c r="R214"/>
      <c r="AC214" t="s">
        <v>85</v>
      </c>
      <c r="AD214" t="s">
        <v>87</v>
      </c>
    </row>
    <row r="215" spans="1:30" x14ac:dyDescent="0.35">
      <c r="A215" t="s">
        <v>100</v>
      </c>
      <c r="B215" s="19">
        <v>8</v>
      </c>
      <c r="C215" s="19" t="s">
        <v>129</v>
      </c>
      <c r="D215" s="19">
        <v>6</v>
      </c>
      <c r="E215" s="19" t="s">
        <v>128</v>
      </c>
      <c r="F215">
        <v>289</v>
      </c>
      <c r="G215">
        <v>1.782</v>
      </c>
      <c r="H215" s="4" t="s">
        <v>63</v>
      </c>
      <c r="I215" s="4" t="s">
        <v>61</v>
      </c>
      <c r="J215" s="19" t="s">
        <v>108</v>
      </c>
      <c r="K215" s="19">
        <v>6</v>
      </c>
      <c r="O215"/>
      <c r="P215"/>
      <c r="Q215"/>
      <c r="R215"/>
      <c r="AC215" t="s">
        <v>85</v>
      </c>
      <c r="AD215" t="s">
        <v>87</v>
      </c>
    </row>
    <row r="216" spans="1:30" x14ac:dyDescent="0.35">
      <c r="A216" t="s">
        <v>99</v>
      </c>
      <c r="B216" s="19">
        <v>1</v>
      </c>
      <c r="C216" s="19" t="s">
        <v>129</v>
      </c>
      <c r="D216" s="19">
        <v>6</v>
      </c>
      <c r="E216" s="19" t="s">
        <v>128</v>
      </c>
      <c r="F216">
        <v>318</v>
      </c>
      <c r="G216">
        <v>12.07</v>
      </c>
      <c r="H216" s="4" t="s">
        <v>63</v>
      </c>
      <c r="I216" s="4" t="s">
        <v>61</v>
      </c>
      <c r="J216" s="19" t="s">
        <v>109</v>
      </c>
      <c r="K216" s="19">
        <v>6</v>
      </c>
      <c r="O216"/>
      <c r="P216"/>
      <c r="Q216"/>
      <c r="R216"/>
      <c r="AC216" t="s">
        <v>85</v>
      </c>
      <c r="AD216" t="s">
        <v>87</v>
      </c>
    </row>
    <row r="217" spans="1:30" x14ac:dyDescent="0.35">
      <c r="A217" t="s">
        <v>99</v>
      </c>
      <c r="B217" s="19">
        <v>2</v>
      </c>
      <c r="C217" s="19" t="s">
        <v>129</v>
      </c>
      <c r="D217" s="19">
        <v>6</v>
      </c>
      <c r="E217" s="19" t="s">
        <v>128</v>
      </c>
      <c r="F217">
        <v>235</v>
      </c>
      <c r="G217">
        <v>10.977</v>
      </c>
      <c r="H217" s="4" t="s">
        <v>63</v>
      </c>
      <c r="I217" s="4" t="s">
        <v>61</v>
      </c>
      <c r="J217" s="19" t="s">
        <v>110</v>
      </c>
      <c r="K217" s="19">
        <v>6</v>
      </c>
      <c r="O217"/>
      <c r="P217"/>
      <c r="Q217"/>
      <c r="R217"/>
      <c r="AC217" t="s">
        <v>85</v>
      </c>
      <c r="AD217" t="s">
        <v>87</v>
      </c>
    </row>
    <row r="218" spans="1:30" x14ac:dyDescent="0.35">
      <c r="A218" t="s">
        <v>99</v>
      </c>
      <c r="B218" s="19">
        <v>3</v>
      </c>
      <c r="C218" s="19" t="s">
        <v>129</v>
      </c>
      <c r="D218" s="19">
        <v>6</v>
      </c>
      <c r="E218" s="19" t="s">
        <v>128</v>
      </c>
      <c r="F218">
        <v>328</v>
      </c>
      <c r="G218">
        <v>12.945</v>
      </c>
      <c r="H218" s="4" t="s">
        <v>63</v>
      </c>
      <c r="I218" s="4" t="s">
        <v>61</v>
      </c>
      <c r="J218" s="19" t="s">
        <v>111</v>
      </c>
      <c r="K218" s="19">
        <v>6</v>
      </c>
      <c r="O218"/>
      <c r="P218"/>
      <c r="Q218"/>
      <c r="R218"/>
      <c r="AC218" t="s">
        <v>85</v>
      </c>
      <c r="AD218" t="s">
        <v>87</v>
      </c>
    </row>
    <row r="219" spans="1:30" x14ac:dyDescent="0.35">
      <c r="A219" t="s">
        <v>99</v>
      </c>
      <c r="B219" s="19">
        <v>4</v>
      </c>
      <c r="C219" s="19" t="s">
        <v>129</v>
      </c>
      <c r="D219" s="19">
        <v>6</v>
      </c>
      <c r="E219" s="19" t="s">
        <v>128</v>
      </c>
      <c r="F219">
        <v>291</v>
      </c>
      <c r="G219">
        <v>7.9219999999999997</v>
      </c>
      <c r="H219" s="4" t="s">
        <v>63</v>
      </c>
      <c r="I219" s="4" t="s">
        <v>61</v>
      </c>
      <c r="J219" s="19" t="s">
        <v>112</v>
      </c>
      <c r="K219" s="19">
        <v>6</v>
      </c>
      <c r="O219"/>
      <c r="P219"/>
      <c r="Q219"/>
      <c r="R219"/>
      <c r="AC219" t="s">
        <v>85</v>
      </c>
      <c r="AD219" t="s">
        <v>87</v>
      </c>
    </row>
    <row r="220" spans="1:30" x14ac:dyDescent="0.35">
      <c r="A220" t="s">
        <v>99</v>
      </c>
      <c r="B220" s="19">
        <v>5</v>
      </c>
      <c r="C220" s="19" t="s">
        <v>129</v>
      </c>
      <c r="D220" s="19">
        <v>6</v>
      </c>
      <c r="E220" s="19" t="s">
        <v>128</v>
      </c>
      <c r="F220">
        <v>322</v>
      </c>
      <c r="G220">
        <v>8.3879999999999999</v>
      </c>
      <c r="H220" s="4" t="s">
        <v>63</v>
      </c>
      <c r="I220" s="4" t="s">
        <v>61</v>
      </c>
      <c r="J220" s="19" t="s">
        <v>113</v>
      </c>
      <c r="K220" s="19">
        <v>6</v>
      </c>
      <c r="O220"/>
      <c r="P220"/>
      <c r="Q220"/>
      <c r="R220"/>
      <c r="AC220" t="s">
        <v>85</v>
      </c>
      <c r="AD220" t="s">
        <v>87</v>
      </c>
    </row>
    <row r="221" spans="1:30" x14ac:dyDescent="0.35">
      <c r="A221" t="s">
        <v>99</v>
      </c>
      <c r="B221" s="19">
        <v>6</v>
      </c>
      <c r="C221" s="19" t="s">
        <v>129</v>
      </c>
      <c r="D221" s="19">
        <v>6</v>
      </c>
      <c r="E221" s="19" t="s">
        <v>128</v>
      </c>
      <c r="F221" s="4">
        <v>344</v>
      </c>
      <c r="G221" s="4">
        <v>12.75</v>
      </c>
      <c r="H221" s="4" t="s">
        <v>63</v>
      </c>
      <c r="I221" s="19" t="s">
        <v>61</v>
      </c>
      <c r="J221" s="19" t="s">
        <v>114</v>
      </c>
      <c r="K221" s="19">
        <v>6</v>
      </c>
      <c r="O221"/>
      <c r="P221"/>
      <c r="Q221"/>
      <c r="R221"/>
      <c r="AC221" t="s">
        <v>85</v>
      </c>
      <c r="AD221" t="s">
        <v>87</v>
      </c>
    </row>
    <row r="222" spans="1:30" x14ac:dyDescent="0.35">
      <c r="A222" t="s">
        <v>99</v>
      </c>
      <c r="B222" s="19">
        <v>7</v>
      </c>
      <c r="C222" s="19" t="s">
        <v>129</v>
      </c>
      <c r="D222" s="19">
        <v>6</v>
      </c>
      <c r="E222" s="19" t="s">
        <v>128</v>
      </c>
      <c r="F222" s="4">
        <v>264</v>
      </c>
      <c r="G222" s="4">
        <v>10.34</v>
      </c>
      <c r="H222" s="4" t="s">
        <v>63</v>
      </c>
      <c r="I222" s="19" t="s">
        <v>61</v>
      </c>
      <c r="J222" s="19" t="s">
        <v>115</v>
      </c>
      <c r="K222" s="19">
        <v>6</v>
      </c>
      <c r="L222"/>
      <c r="M222"/>
      <c r="O222"/>
      <c r="P222"/>
      <c r="Q222"/>
      <c r="R222"/>
      <c r="AC222" t="s">
        <v>85</v>
      </c>
      <c r="AD222" t="s">
        <v>87</v>
      </c>
    </row>
    <row r="223" spans="1:30" x14ac:dyDescent="0.35">
      <c r="A223" t="s">
        <v>99</v>
      </c>
      <c r="B223" s="19">
        <v>8</v>
      </c>
      <c r="C223" s="19" t="s">
        <v>129</v>
      </c>
      <c r="D223" s="19">
        <v>6</v>
      </c>
      <c r="E223" s="19" t="s">
        <v>128</v>
      </c>
      <c r="F223" s="4">
        <v>253</v>
      </c>
      <c r="G223" s="4">
        <v>9.5139999999999993</v>
      </c>
      <c r="H223" s="4" t="s">
        <v>63</v>
      </c>
      <c r="I223" s="19" t="s">
        <v>61</v>
      </c>
      <c r="J223" s="19" t="s">
        <v>116</v>
      </c>
      <c r="K223" s="19">
        <v>6</v>
      </c>
      <c r="L223"/>
      <c r="M223"/>
      <c r="O223"/>
      <c r="P223"/>
      <c r="Q223"/>
      <c r="R223"/>
      <c r="AC223" t="s">
        <v>85</v>
      </c>
      <c r="AD223" t="s">
        <v>87</v>
      </c>
    </row>
    <row r="224" spans="1:30" x14ac:dyDescent="0.35">
      <c r="A224" t="s">
        <v>150</v>
      </c>
      <c r="B224" s="19">
        <v>1</v>
      </c>
      <c r="C224" s="19" t="s">
        <v>130</v>
      </c>
      <c r="D224" s="19">
        <v>7</v>
      </c>
      <c r="E224" s="19" t="s">
        <v>129</v>
      </c>
      <c r="F224" s="4">
        <v>327</v>
      </c>
      <c r="G224" s="4">
        <v>8.4049999999999994</v>
      </c>
      <c r="H224" s="4" t="s">
        <v>63</v>
      </c>
      <c r="I224" s="19" t="s">
        <v>61</v>
      </c>
      <c r="J224" s="19">
        <v>1</v>
      </c>
      <c r="K224" s="19">
        <v>6</v>
      </c>
      <c r="L224">
        <v>14.24375</v>
      </c>
      <c r="M224">
        <v>9.767801032605</v>
      </c>
      <c r="N224" s="4">
        <v>53.5</v>
      </c>
      <c r="O224">
        <f t="shared" ref="O224:O255" si="12">100-L224-M224-N224</f>
        <v>22.488448967394987</v>
      </c>
      <c r="P224">
        <f t="shared" ref="P224:P255" si="13">(L224/(SUM(L224:N224))*100)</f>
        <v>18.376293352726758</v>
      </c>
      <c r="Q224">
        <f t="shared" ref="Q224:Q255" si="14">(M224/(SUM(L224:N224))*100)</f>
        <v>12.601736002542646</v>
      </c>
      <c r="R224">
        <f t="shared" ref="R224:R255" si="15">(N224/(SUM(L224:N224))*100)</f>
        <v>69.021970644730601</v>
      </c>
      <c r="Z224">
        <v>72.187500000000014</v>
      </c>
      <c r="AC224" t="s">
        <v>85</v>
      </c>
      <c r="AD224" t="s">
        <v>85</v>
      </c>
    </row>
    <row r="225" spans="1:30" x14ac:dyDescent="0.35">
      <c r="A225" t="s">
        <v>150</v>
      </c>
      <c r="B225" s="19">
        <v>2</v>
      </c>
      <c r="C225" s="19" t="s">
        <v>130</v>
      </c>
      <c r="D225" s="19">
        <v>7</v>
      </c>
      <c r="E225" s="19" t="s">
        <v>129</v>
      </c>
      <c r="F225">
        <v>165</v>
      </c>
      <c r="G225">
        <v>7.8630000000000004</v>
      </c>
      <c r="H225" s="4" t="s">
        <v>63</v>
      </c>
      <c r="I225" s="4" t="s">
        <v>61</v>
      </c>
      <c r="J225" s="19">
        <v>2</v>
      </c>
      <c r="K225" s="19">
        <v>6</v>
      </c>
      <c r="L225">
        <v>14.24375</v>
      </c>
      <c r="M225">
        <v>9.767801032605</v>
      </c>
      <c r="N225" s="4">
        <v>53.5</v>
      </c>
      <c r="O225">
        <f t="shared" si="12"/>
        <v>22.488448967394987</v>
      </c>
      <c r="P225">
        <f t="shared" si="13"/>
        <v>18.376293352726758</v>
      </c>
      <c r="Q225">
        <f t="shared" si="14"/>
        <v>12.601736002542646</v>
      </c>
      <c r="R225">
        <f t="shared" si="15"/>
        <v>69.021970644730601</v>
      </c>
      <c r="Z225">
        <v>59.25</v>
      </c>
      <c r="AC225" t="s">
        <v>85</v>
      </c>
      <c r="AD225" t="s">
        <v>85</v>
      </c>
    </row>
    <row r="226" spans="1:30" x14ac:dyDescent="0.35">
      <c r="A226" t="s">
        <v>150</v>
      </c>
      <c r="B226" s="19">
        <v>3</v>
      </c>
      <c r="C226" s="19" t="s">
        <v>130</v>
      </c>
      <c r="D226" s="19">
        <v>7</v>
      </c>
      <c r="E226" s="19" t="s">
        <v>129</v>
      </c>
      <c r="F226">
        <v>268</v>
      </c>
      <c r="G226">
        <v>12.97</v>
      </c>
      <c r="H226" s="4" t="s">
        <v>63</v>
      </c>
      <c r="I226" s="4" t="s">
        <v>61</v>
      </c>
      <c r="J226" s="19">
        <v>3</v>
      </c>
      <c r="K226" s="19">
        <v>6</v>
      </c>
      <c r="L226">
        <v>14.24375</v>
      </c>
      <c r="M226">
        <v>9.767801032605</v>
      </c>
      <c r="N226" s="4">
        <v>53.5</v>
      </c>
      <c r="O226">
        <f t="shared" si="12"/>
        <v>22.488448967394987</v>
      </c>
      <c r="P226">
        <f t="shared" si="13"/>
        <v>18.376293352726758</v>
      </c>
      <c r="Q226">
        <f t="shared" si="14"/>
        <v>12.601736002542646</v>
      </c>
      <c r="R226">
        <f t="shared" si="15"/>
        <v>69.021970644730601</v>
      </c>
      <c r="Z226">
        <v>58.4375</v>
      </c>
      <c r="AC226" t="s">
        <v>85</v>
      </c>
      <c r="AD226" t="s">
        <v>85</v>
      </c>
    </row>
    <row r="227" spans="1:30" x14ac:dyDescent="0.35">
      <c r="A227" t="s">
        <v>150</v>
      </c>
      <c r="B227" s="19">
        <v>4</v>
      </c>
      <c r="C227" s="19" t="s">
        <v>130</v>
      </c>
      <c r="D227" s="19">
        <v>7</v>
      </c>
      <c r="E227" s="19" t="s">
        <v>129</v>
      </c>
      <c r="F227">
        <v>370</v>
      </c>
      <c r="G227">
        <v>12.622</v>
      </c>
      <c r="H227" s="4" t="s">
        <v>63</v>
      </c>
      <c r="I227" s="4" t="s">
        <v>61</v>
      </c>
      <c r="J227" s="19">
        <v>4</v>
      </c>
      <c r="K227" s="19">
        <v>6</v>
      </c>
      <c r="L227">
        <v>14.24375</v>
      </c>
      <c r="M227">
        <v>9.767801032605</v>
      </c>
      <c r="N227" s="4">
        <v>53.5</v>
      </c>
      <c r="O227">
        <f t="shared" si="12"/>
        <v>22.488448967394987</v>
      </c>
      <c r="P227">
        <f t="shared" si="13"/>
        <v>18.376293352726758</v>
      </c>
      <c r="Q227">
        <f t="shared" si="14"/>
        <v>12.601736002542646</v>
      </c>
      <c r="R227">
        <f t="shared" si="15"/>
        <v>69.021970644730601</v>
      </c>
      <c r="Z227">
        <v>52.125</v>
      </c>
      <c r="AC227" t="s">
        <v>85</v>
      </c>
      <c r="AD227" t="s">
        <v>85</v>
      </c>
    </row>
    <row r="228" spans="1:30" x14ac:dyDescent="0.35">
      <c r="A228" t="s">
        <v>150</v>
      </c>
      <c r="B228" s="19">
        <v>5</v>
      </c>
      <c r="C228" s="19" t="s">
        <v>130</v>
      </c>
      <c r="D228" s="19">
        <v>7</v>
      </c>
      <c r="E228" s="19" t="s">
        <v>129</v>
      </c>
      <c r="F228">
        <v>175</v>
      </c>
      <c r="G228">
        <v>8.4879999999999995</v>
      </c>
      <c r="H228" s="4" t="s">
        <v>63</v>
      </c>
      <c r="I228" s="4" t="s">
        <v>61</v>
      </c>
      <c r="J228" s="19">
        <v>5</v>
      </c>
      <c r="K228" s="19">
        <v>6</v>
      </c>
      <c r="L228">
        <v>14.24375</v>
      </c>
      <c r="M228">
        <v>9.767801032605</v>
      </c>
      <c r="N228" s="4">
        <v>53.5</v>
      </c>
      <c r="O228">
        <f t="shared" si="12"/>
        <v>22.488448967394987</v>
      </c>
      <c r="P228">
        <f t="shared" si="13"/>
        <v>18.376293352726758</v>
      </c>
      <c r="Q228">
        <f t="shared" si="14"/>
        <v>12.601736002542646</v>
      </c>
      <c r="R228">
        <f t="shared" si="15"/>
        <v>69.021970644730601</v>
      </c>
      <c r="Z228">
        <v>47.687499999999986</v>
      </c>
      <c r="AC228" t="s">
        <v>85</v>
      </c>
      <c r="AD228" t="s">
        <v>85</v>
      </c>
    </row>
    <row r="229" spans="1:30" x14ac:dyDescent="0.35">
      <c r="A229" t="s">
        <v>150</v>
      </c>
      <c r="B229" s="19">
        <v>6</v>
      </c>
      <c r="C229" s="19" t="s">
        <v>130</v>
      </c>
      <c r="D229" s="19">
        <v>7</v>
      </c>
      <c r="E229" s="19" t="s">
        <v>129</v>
      </c>
      <c r="F229">
        <v>153</v>
      </c>
      <c r="G229">
        <v>8.9550000000000001</v>
      </c>
      <c r="H229" s="4" t="s">
        <v>63</v>
      </c>
      <c r="I229" s="4" t="s">
        <v>61</v>
      </c>
      <c r="J229" s="19">
        <v>6</v>
      </c>
      <c r="K229" s="19">
        <v>6</v>
      </c>
      <c r="L229">
        <v>14.24375</v>
      </c>
      <c r="M229">
        <v>9.767801032605</v>
      </c>
      <c r="N229" s="4">
        <v>53.5</v>
      </c>
      <c r="O229">
        <f t="shared" si="12"/>
        <v>22.488448967394987</v>
      </c>
      <c r="P229">
        <f t="shared" si="13"/>
        <v>18.376293352726758</v>
      </c>
      <c r="Q229">
        <f t="shared" si="14"/>
        <v>12.601736002542646</v>
      </c>
      <c r="R229">
        <f t="shared" si="15"/>
        <v>69.021970644730601</v>
      </c>
      <c r="Z229">
        <v>59.937500000000007</v>
      </c>
      <c r="AC229" t="s">
        <v>85</v>
      </c>
      <c r="AD229" t="s">
        <v>85</v>
      </c>
    </row>
    <row r="230" spans="1:30" x14ac:dyDescent="0.35">
      <c r="A230" t="s">
        <v>150</v>
      </c>
      <c r="B230" s="19">
        <v>7</v>
      </c>
      <c r="C230" s="19" t="s">
        <v>130</v>
      </c>
      <c r="D230" s="19">
        <v>7</v>
      </c>
      <c r="E230" s="19" t="s">
        <v>129</v>
      </c>
      <c r="F230">
        <v>101</v>
      </c>
      <c r="G230">
        <v>5.282</v>
      </c>
      <c r="H230" s="4" t="s">
        <v>63</v>
      </c>
      <c r="I230" s="4" t="s">
        <v>61</v>
      </c>
      <c r="J230" s="19">
        <v>7</v>
      </c>
      <c r="K230" s="19">
        <v>6</v>
      </c>
      <c r="L230">
        <v>14.24375</v>
      </c>
      <c r="M230">
        <v>9.767801032605</v>
      </c>
      <c r="N230" s="4">
        <v>53.5</v>
      </c>
      <c r="O230">
        <f t="shared" si="12"/>
        <v>22.488448967394987</v>
      </c>
      <c r="P230">
        <f t="shared" si="13"/>
        <v>18.376293352726758</v>
      </c>
      <c r="Q230">
        <f t="shared" si="14"/>
        <v>12.601736002542646</v>
      </c>
      <c r="R230">
        <f t="shared" si="15"/>
        <v>69.021970644730601</v>
      </c>
      <c r="Z230">
        <v>58.374999999999986</v>
      </c>
      <c r="AC230" t="s">
        <v>85</v>
      </c>
      <c r="AD230" t="s">
        <v>85</v>
      </c>
    </row>
    <row r="231" spans="1:30" x14ac:dyDescent="0.35">
      <c r="A231" t="s">
        <v>150</v>
      </c>
      <c r="B231" s="19">
        <v>8</v>
      </c>
      <c r="C231" s="19" t="s">
        <v>130</v>
      </c>
      <c r="D231" s="19">
        <v>7</v>
      </c>
      <c r="E231" s="19" t="s">
        <v>129</v>
      </c>
      <c r="F231">
        <v>103</v>
      </c>
      <c r="G231">
        <v>5.3040000000000003</v>
      </c>
      <c r="H231" s="4" t="s">
        <v>63</v>
      </c>
      <c r="I231" s="4" t="s">
        <v>61</v>
      </c>
      <c r="J231" s="19">
        <v>8</v>
      </c>
      <c r="K231" s="19">
        <v>6</v>
      </c>
      <c r="L231">
        <v>14.24375</v>
      </c>
      <c r="M231">
        <v>9.767801032605</v>
      </c>
      <c r="N231" s="4">
        <v>53.5</v>
      </c>
      <c r="O231">
        <f t="shared" si="12"/>
        <v>22.488448967394987</v>
      </c>
      <c r="P231">
        <f t="shared" si="13"/>
        <v>18.376293352726758</v>
      </c>
      <c r="Q231">
        <f t="shared" si="14"/>
        <v>12.601736002542646</v>
      </c>
      <c r="R231">
        <f t="shared" si="15"/>
        <v>69.021970644730601</v>
      </c>
      <c r="Z231">
        <v>57.125000000000014</v>
      </c>
      <c r="AC231" t="s">
        <v>85</v>
      </c>
      <c r="AD231" t="s">
        <v>85</v>
      </c>
    </row>
    <row r="232" spans="1:30" x14ac:dyDescent="0.35">
      <c r="A232" t="s">
        <v>122</v>
      </c>
      <c r="B232" s="19">
        <v>1</v>
      </c>
      <c r="C232" s="19" t="s">
        <v>130</v>
      </c>
      <c r="D232" s="19">
        <v>7</v>
      </c>
      <c r="E232" s="19" t="s">
        <v>129</v>
      </c>
      <c r="H232" s="4" t="s">
        <v>63</v>
      </c>
      <c r="I232" s="4" t="s">
        <v>61</v>
      </c>
      <c r="J232" s="19">
        <v>1</v>
      </c>
      <c r="K232" s="19">
        <v>6</v>
      </c>
      <c r="L232">
        <v>22.662500000000001</v>
      </c>
      <c r="M232">
        <v>6.05</v>
      </c>
      <c r="N232" s="4">
        <v>36.1</v>
      </c>
      <c r="O232">
        <f t="shared" si="12"/>
        <v>35.187500000000007</v>
      </c>
      <c r="P232">
        <f t="shared" si="13"/>
        <v>34.966248794599807</v>
      </c>
      <c r="Q232">
        <f t="shared" si="14"/>
        <v>9.3346190935390556</v>
      </c>
      <c r="R232">
        <f t="shared" si="15"/>
        <v>55.69913211186114</v>
      </c>
      <c r="AC232" t="s">
        <v>87</v>
      </c>
      <c r="AD232" t="s">
        <v>87</v>
      </c>
    </row>
    <row r="233" spans="1:30" x14ac:dyDescent="0.35">
      <c r="A233" t="s">
        <v>122</v>
      </c>
      <c r="B233" s="19">
        <v>2</v>
      </c>
      <c r="C233" s="19" t="s">
        <v>130</v>
      </c>
      <c r="D233" s="19">
        <v>7</v>
      </c>
      <c r="E233" s="19" t="s">
        <v>129</v>
      </c>
      <c r="F233">
        <v>144</v>
      </c>
      <c r="G233">
        <v>9.85</v>
      </c>
      <c r="H233" s="4" t="s">
        <v>63</v>
      </c>
      <c r="I233" s="4" t="s">
        <v>61</v>
      </c>
      <c r="J233" s="19">
        <v>2</v>
      </c>
      <c r="K233" s="19">
        <v>6</v>
      </c>
      <c r="L233">
        <v>22.662500000000001</v>
      </c>
      <c r="M233">
        <v>6.05</v>
      </c>
      <c r="N233" s="4">
        <v>36.1</v>
      </c>
      <c r="O233">
        <f t="shared" si="12"/>
        <v>35.187500000000007</v>
      </c>
      <c r="P233">
        <f t="shared" si="13"/>
        <v>34.966248794599807</v>
      </c>
      <c r="Q233">
        <f t="shared" si="14"/>
        <v>9.3346190935390556</v>
      </c>
      <c r="R233">
        <f t="shared" si="15"/>
        <v>55.69913211186114</v>
      </c>
      <c r="Z233">
        <v>69.25</v>
      </c>
      <c r="AC233" t="s">
        <v>85</v>
      </c>
      <c r="AD233" t="s">
        <v>85</v>
      </c>
    </row>
    <row r="234" spans="1:30" x14ac:dyDescent="0.35">
      <c r="A234" t="s">
        <v>122</v>
      </c>
      <c r="B234" s="19">
        <v>3</v>
      </c>
      <c r="C234" s="19" t="s">
        <v>130</v>
      </c>
      <c r="D234" s="19">
        <v>7</v>
      </c>
      <c r="E234" s="19" t="s">
        <v>129</v>
      </c>
      <c r="F234">
        <v>98</v>
      </c>
      <c r="G234">
        <v>8.8719999999999999</v>
      </c>
      <c r="H234" s="4" t="s">
        <v>63</v>
      </c>
      <c r="I234" s="4" t="s">
        <v>61</v>
      </c>
      <c r="J234" s="19">
        <v>3</v>
      </c>
      <c r="K234" s="19">
        <v>6</v>
      </c>
      <c r="L234">
        <v>22.662500000000001</v>
      </c>
      <c r="M234">
        <v>6.05</v>
      </c>
      <c r="N234" s="4">
        <v>36.1</v>
      </c>
      <c r="O234">
        <f t="shared" si="12"/>
        <v>35.187500000000007</v>
      </c>
      <c r="P234">
        <f t="shared" si="13"/>
        <v>34.966248794599807</v>
      </c>
      <c r="Q234">
        <f t="shared" si="14"/>
        <v>9.3346190935390556</v>
      </c>
      <c r="R234">
        <f t="shared" si="15"/>
        <v>55.69913211186114</v>
      </c>
      <c r="Z234">
        <v>67.375</v>
      </c>
      <c r="AC234" t="s">
        <v>85</v>
      </c>
      <c r="AD234" t="s">
        <v>85</v>
      </c>
    </row>
    <row r="235" spans="1:30" x14ac:dyDescent="0.35">
      <c r="A235" t="s">
        <v>122</v>
      </c>
      <c r="B235" s="19">
        <v>4</v>
      </c>
      <c r="C235" s="19" t="s">
        <v>130</v>
      </c>
      <c r="D235" s="19">
        <v>7</v>
      </c>
      <c r="E235" s="19" t="s">
        <v>129</v>
      </c>
      <c r="F235">
        <v>174</v>
      </c>
      <c r="G235">
        <v>11.118</v>
      </c>
      <c r="H235" s="4" t="s">
        <v>63</v>
      </c>
      <c r="I235" s="4" t="s">
        <v>61</v>
      </c>
      <c r="J235" s="19">
        <v>4</v>
      </c>
      <c r="K235" s="19">
        <v>6</v>
      </c>
      <c r="L235">
        <v>22.662500000000001</v>
      </c>
      <c r="M235">
        <v>6.05</v>
      </c>
      <c r="N235" s="4">
        <v>36.1</v>
      </c>
      <c r="O235">
        <f t="shared" si="12"/>
        <v>35.187500000000007</v>
      </c>
      <c r="P235">
        <f t="shared" si="13"/>
        <v>34.966248794599807</v>
      </c>
      <c r="Q235">
        <f t="shared" si="14"/>
        <v>9.3346190935390556</v>
      </c>
      <c r="R235">
        <f t="shared" si="15"/>
        <v>55.69913211186114</v>
      </c>
      <c r="Z235">
        <v>60.812499999999993</v>
      </c>
      <c r="AC235" t="s">
        <v>85</v>
      </c>
      <c r="AD235" t="s">
        <v>85</v>
      </c>
    </row>
    <row r="236" spans="1:30" x14ac:dyDescent="0.35">
      <c r="A236" t="s">
        <v>122</v>
      </c>
      <c r="B236" s="19">
        <v>5</v>
      </c>
      <c r="C236" s="19" t="s">
        <v>130</v>
      </c>
      <c r="D236" s="19">
        <v>7</v>
      </c>
      <c r="E236" s="19" t="s">
        <v>129</v>
      </c>
      <c r="F236">
        <v>66</v>
      </c>
      <c r="G236">
        <v>7.2770000000000001</v>
      </c>
      <c r="H236" s="4" t="s">
        <v>63</v>
      </c>
      <c r="I236" s="4" t="s">
        <v>61</v>
      </c>
      <c r="J236" s="19">
        <v>5</v>
      </c>
      <c r="K236" s="19">
        <v>6</v>
      </c>
      <c r="L236">
        <v>22.662500000000001</v>
      </c>
      <c r="M236">
        <v>6.05</v>
      </c>
      <c r="N236" s="4">
        <v>36.1</v>
      </c>
      <c r="O236">
        <f t="shared" si="12"/>
        <v>35.187500000000007</v>
      </c>
      <c r="P236">
        <f t="shared" si="13"/>
        <v>34.966248794599807</v>
      </c>
      <c r="Q236">
        <f t="shared" si="14"/>
        <v>9.3346190935390556</v>
      </c>
      <c r="R236">
        <f t="shared" si="15"/>
        <v>55.69913211186114</v>
      </c>
      <c r="Z236">
        <v>61.187499999999986</v>
      </c>
      <c r="AC236" t="s">
        <v>85</v>
      </c>
      <c r="AD236" t="s">
        <v>85</v>
      </c>
    </row>
    <row r="237" spans="1:30" x14ac:dyDescent="0.35">
      <c r="A237" t="s">
        <v>122</v>
      </c>
      <c r="B237" s="19">
        <v>6</v>
      </c>
      <c r="C237" s="19" t="s">
        <v>130</v>
      </c>
      <c r="D237" s="19">
        <v>7</v>
      </c>
      <c r="E237" s="19" t="s">
        <v>129</v>
      </c>
      <c r="F237">
        <v>74</v>
      </c>
      <c r="G237">
        <v>6.0789999999999997</v>
      </c>
      <c r="H237" s="4" t="s">
        <v>63</v>
      </c>
      <c r="I237" s="4" t="s">
        <v>61</v>
      </c>
      <c r="J237" s="19">
        <v>6</v>
      </c>
      <c r="K237" s="19">
        <v>6</v>
      </c>
      <c r="L237">
        <v>22.662500000000001</v>
      </c>
      <c r="M237">
        <v>6.05</v>
      </c>
      <c r="N237" s="4">
        <v>36.1</v>
      </c>
      <c r="O237">
        <f t="shared" si="12"/>
        <v>35.187500000000007</v>
      </c>
      <c r="P237">
        <f t="shared" si="13"/>
        <v>34.966248794599807</v>
      </c>
      <c r="Q237">
        <f t="shared" si="14"/>
        <v>9.3346190935390556</v>
      </c>
      <c r="R237">
        <f t="shared" si="15"/>
        <v>55.69913211186114</v>
      </c>
      <c r="Z237">
        <v>56.437499999999993</v>
      </c>
      <c r="AC237" t="s">
        <v>85</v>
      </c>
      <c r="AD237" t="s">
        <v>85</v>
      </c>
    </row>
    <row r="238" spans="1:30" x14ac:dyDescent="0.35">
      <c r="A238" t="s">
        <v>122</v>
      </c>
      <c r="B238" s="19">
        <v>7</v>
      </c>
      <c r="C238" s="19" t="s">
        <v>130</v>
      </c>
      <c r="D238" s="19">
        <v>7</v>
      </c>
      <c r="E238" s="19" t="s">
        <v>129</v>
      </c>
      <c r="F238">
        <v>55</v>
      </c>
      <c r="G238">
        <v>2.1030000000000002</v>
      </c>
      <c r="H238" s="4" t="s">
        <v>63</v>
      </c>
      <c r="I238" s="4" t="s">
        <v>61</v>
      </c>
      <c r="J238" s="19">
        <v>7</v>
      </c>
      <c r="K238" s="19">
        <v>6</v>
      </c>
      <c r="L238">
        <v>22.662500000000001</v>
      </c>
      <c r="M238">
        <v>6.05</v>
      </c>
      <c r="N238" s="4">
        <v>36.1</v>
      </c>
      <c r="O238">
        <f t="shared" si="12"/>
        <v>35.187500000000007</v>
      </c>
      <c r="P238">
        <f t="shared" si="13"/>
        <v>34.966248794599807</v>
      </c>
      <c r="Q238">
        <f t="shared" si="14"/>
        <v>9.3346190935390556</v>
      </c>
      <c r="R238">
        <f t="shared" si="15"/>
        <v>55.69913211186114</v>
      </c>
      <c r="Z238">
        <v>54.312499999999986</v>
      </c>
      <c r="AC238" t="s">
        <v>85</v>
      </c>
      <c r="AD238" t="s">
        <v>85</v>
      </c>
    </row>
    <row r="239" spans="1:30" x14ac:dyDescent="0.35">
      <c r="A239" t="s">
        <v>122</v>
      </c>
      <c r="B239" s="19">
        <v>8</v>
      </c>
      <c r="C239" s="19" t="s">
        <v>130</v>
      </c>
      <c r="D239" s="19">
        <v>7</v>
      </c>
      <c r="E239" s="19" t="s">
        <v>129</v>
      </c>
      <c r="F239">
        <v>90</v>
      </c>
      <c r="G239">
        <v>6.077</v>
      </c>
      <c r="H239" s="4" t="s">
        <v>63</v>
      </c>
      <c r="I239" s="4" t="s">
        <v>61</v>
      </c>
      <c r="J239" s="19">
        <v>8</v>
      </c>
      <c r="K239" s="19">
        <v>6</v>
      </c>
      <c r="L239">
        <v>22.662500000000001</v>
      </c>
      <c r="M239">
        <v>6.05</v>
      </c>
      <c r="N239" s="4">
        <v>36.1</v>
      </c>
      <c r="O239">
        <f t="shared" si="12"/>
        <v>35.187500000000007</v>
      </c>
      <c r="P239">
        <f t="shared" si="13"/>
        <v>34.966248794599807</v>
      </c>
      <c r="Q239">
        <f t="shared" si="14"/>
        <v>9.3346190935390556</v>
      </c>
      <c r="R239">
        <f t="shared" si="15"/>
        <v>55.69913211186114</v>
      </c>
      <c r="Z239">
        <v>59.624999999999986</v>
      </c>
      <c r="AC239" t="s">
        <v>85</v>
      </c>
      <c r="AD239" t="s">
        <v>85</v>
      </c>
    </row>
    <row r="240" spans="1:30" x14ac:dyDescent="0.35">
      <c r="A240" t="s">
        <v>121</v>
      </c>
      <c r="B240" s="19">
        <v>1</v>
      </c>
      <c r="C240" s="19" t="s">
        <v>130</v>
      </c>
      <c r="D240" s="19">
        <v>7</v>
      </c>
      <c r="E240" s="19" t="s">
        <v>129</v>
      </c>
      <c r="F240">
        <v>375</v>
      </c>
      <c r="G240">
        <v>9.9649999999999999</v>
      </c>
      <c r="H240" s="4" t="s">
        <v>63</v>
      </c>
      <c r="I240" s="4" t="s">
        <v>61</v>
      </c>
      <c r="J240" s="19">
        <v>1</v>
      </c>
      <c r="K240" s="19">
        <v>6</v>
      </c>
      <c r="L240">
        <v>14.350000000000001</v>
      </c>
      <c r="M240">
        <v>15.15</v>
      </c>
      <c r="N240" s="4">
        <v>34.549999999999997</v>
      </c>
      <c r="O240">
        <f t="shared" si="12"/>
        <v>35.950000000000003</v>
      </c>
      <c r="P240">
        <f t="shared" si="13"/>
        <v>22.404371584699454</v>
      </c>
      <c r="Q240">
        <f t="shared" si="14"/>
        <v>23.653395784543328</v>
      </c>
      <c r="R240">
        <f t="shared" si="15"/>
        <v>53.942232630757218</v>
      </c>
      <c r="Z240">
        <v>62.812500000000007</v>
      </c>
      <c r="AC240" t="s">
        <v>85</v>
      </c>
      <c r="AD240" t="s">
        <v>85</v>
      </c>
    </row>
    <row r="241" spans="1:30" x14ac:dyDescent="0.35">
      <c r="A241" t="s">
        <v>121</v>
      </c>
      <c r="B241" s="19">
        <v>2</v>
      </c>
      <c r="C241" s="19" t="s">
        <v>130</v>
      </c>
      <c r="D241" s="19">
        <v>7</v>
      </c>
      <c r="E241" s="19" t="s">
        <v>129</v>
      </c>
      <c r="F241">
        <v>245</v>
      </c>
      <c r="G241">
        <v>6.9889999999999999</v>
      </c>
      <c r="H241" s="4" t="s">
        <v>63</v>
      </c>
      <c r="I241" s="4" t="s">
        <v>61</v>
      </c>
      <c r="J241" s="19">
        <v>2</v>
      </c>
      <c r="K241" s="19">
        <v>6</v>
      </c>
      <c r="L241">
        <v>14.350000000000001</v>
      </c>
      <c r="M241">
        <v>15.15</v>
      </c>
      <c r="N241" s="4">
        <v>34.549999999999997</v>
      </c>
      <c r="O241">
        <f t="shared" si="12"/>
        <v>35.950000000000003</v>
      </c>
      <c r="P241">
        <f t="shared" si="13"/>
        <v>22.404371584699454</v>
      </c>
      <c r="Q241">
        <f t="shared" si="14"/>
        <v>23.653395784543328</v>
      </c>
      <c r="R241">
        <f t="shared" si="15"/>
        <v>53.942232630757218</v>
      </c>
      <c r="Z241">
        <v>66.1875</v>
      </c>
      <c r="AC241" t="s">
        <v>85</v>
      </c>
      <c r="AD241" t="s">
        <v>85</v>
      </c>
    </row>
    <row r="242" spans="1:30" x14ac:dyDescent="0.35">
      <c r="A242" t="s">
        <v>121</v>
      </c>
      <c r="B242" s="19">
        <v>3</v>
      </c>
      <c r="C242" s="19" t="s">
        <v>130</v>
      </c>
      <c r="D242" s="19">
        <v>7</v>
      </c>
      <c r="E242" s="19" t="s">
        <v>129</v>
      </c>
      <c r="F242">
        <v>205</v>
      </c>
      <c r="G242">
        <v>12.609</v>
      </c>
      <c r="H242" s="4" t="s">
        <v>63</v>
      </c>
      <c r="I242" s="4" t="s">
        <v>61</v>
      </c>
      <c r="J242" s="19">
        <v>3</v>
      </c>
      <c r="K242" s="19">
        <v>6</v>
      </c>
      <c r="L242">
        <v>14.350000000000001</v>
      </c>
      <c r="M242">
        <v>15.15</v>
      </c>
      <c r="N242" s="4">
        <v>34.549999999999997</v>
      </c>
      <c r="O242">
        <f t="shared" si="12"/>
        <v>35.950000000000003</v>
      </c>
      <c r="P242">
        <f t="shared" si="13"/>
        <v>22.404371584699454</v>
      </c>
      <c r="Q242">
        <f t="shared" si="14"/>
        <v>23.653395784543328</v>
      </c>
      <c r="R242">
        <f t="shared" si="15"/>
        <v>53.942232630757218</v>
      </c>
      <c r="Z242">
        <v>66.9375</v>
      </c>
      <c r="AC242" t="s">
        <v>85</v>
      </c>
      <c r="AD242" t="s">
        <v>85</v>
      </c>
    </row>
    <row r="243" spans="1:30" x14ac:dyDescent="0.35">
      <c r="A243" t="s">
        <v>121</v>
      </c>
      <c r="B243" s="19">
        <v>4</v>
      </c>
      <c r="C243" s="19" t="s">
        <v>130</v>
      </c>
      <c r="D243" s="19">
        <v>7</v>
      </c>
      <c r="E243" s="19" t="s">
        <v>129</v>
      </c>
      <c r="F243">
        <v>275</v>
      </c>
      <c r="G243">
        <v>9.7729999999999997</v>
      </c>
      <c r="H243" s="4" t="s">
        <v>63</v>
      </c>
      <c r="I243" s="4" t="s">
        <v>61</v>
      </c>
      <c r="J243" s="19">
        <v>4</v>
      </c>
      <c r="K243" s="19">
        <v>6</v>
      </c>
      <c r="L243">
        <v>14.350000000000001</v>
      </c>
      <c r="M243">
        <v>15.15</v>
      </c>
      <c r="N243" s="4">
        <v>34.549999999999997</v>
      </c>
      <c r="O243">
        <f t="shared" si="12"/>
        <v>35.950000000000003</v>
      </c>
      <c r="P243">
        <f t="shared" si="13"/>
        <v>22.404371584699454</v>
      </c>
      <c r="Q243">
        <f t="shared" si="14"/>
        <v>23.653395784543328</v>
      </c>
      <c r="R243">
        <f t="shared" si="15"/>
        <v>53.942232630757218</v>
      </c>
      <c r="Z243">
        <v>68.375</v>
      </c>
      <c r="AC243" t="s">
        <v>85</v>
      </c>
      <c r="AD243" t="s">
        <v>85</v>
      </c>
    </row>
    <row r="244" spans="1:30" x14ac:dyDescent="0.35">
      <c r="A244" t="s">
        <v>121</v>
      </c>
      <c r="B244" s="19">
        <v>5</v>
      </c>
      <c r="C244" s="19" t="s">
        <v>130</v>
      </c>
      <c r="D244" s="19">
        <v>7</v>
      </c>
      <c r="E244" s="19" t="s">
        <v>129</v>
      </c>
      <c r="F244">
        <v>52</v>
      </c>
      <c r="G244">
        <v>4.28</v>
      </c>
      <c r="H244" s="4" t="s">
        <v>63</v>
      </c>
      <c r="I244" s="4" t="s">
        <v>61</v>
      </c>
      <c r="J244" s="19">
        <v>5</v>
      </c>
      <c r="K244" s="19">
        <v>6</v>
      </c>
      <c r="L244">
        <v>14.350000000000001</v>
      </c>
      <c r="M244">
        <v>15.15</v>
      </c>
      <c r="N244" s="4">
        <v>34.549999999999997</v>
      </c>
      <c r="O244">
        <f t="shared" si="12"/>
        <v>35.950000000000003</v>
      </c>
      <c r="P244">
        <f t="shared" si="13"/>
        <v>22.404371584699454</v>
      </c>
      <c r="Q244">
        <f t="shared" si="14"/>
        <v>23.653395784543328</v>
      </c>
      <c r="R244">
        <f t="shared" si="15"/>
        <v>53.942232630757218</v>
      </c>
      <c r="Z244">
        <v>47.937500000000007</v>
      </c>
      <c r="AC244" t="s">
        <v>85</v>
      </c>
      <c r="AD244" t="s">
        <v>85</v>
      </c>
    </row>
    <row r="245" spans="1:30" x14ac:dyDescent="0.35">
      <c r="A245" t="s">
        <v>121</v>
      </c>
      <c r="B245" s="19">
        <v>6</v>
      </c>
      <c r="C245" s="19" t="s">
        <v>130</v>
      </c>
      <c r="D245" s="19">
        <v>7</v>
      </c>
      <c r="E245" s="19" t="s">
        <v>129</v>
      </c>
      <c r="F245">
        <v>195</v>
      </c>
      <c r="G245">
        <v>9.2330000000000005</v>
      </c>
      <c r="H245" s="4" t="s">
        <v>63</v>
      </c>
      <c r="I245" s="4" t="s">
        <v>61</v>
      </c>
      <c r="J245" s="19">
        <v>6</v>
      </c>
      <c r="K245" s="19">
        <v>6</v>
      </c>
      <c r="L245">
        <v>14.350000000000001</v>
      </c>
      <c r="M245">
        <v>15.15</v>
      </c>
      <c r="N245" s="4">
        <v>34.549999999999997</v>
      </c>
      <c r="O245">
        <f t="shared" si="12"/>
        <v>35.950000000000003</v>
      </c>
      <c r="P245">
        <f t="shared" si="13"/>
        <v>22.404371584699454</v>
      </c>
      <c r="Q245">
        <f t="shared" si="14"/>
        <v>23.653395784543328</v>
      </c>
      <c r="R245">
        <f t="shared" si="15"/>
        <v>53.942232630757218</v>
      </c>
      <c r="Z245">
        <v>55.625</v>
      </c>
      <c r="AC245" t="s">
        <v>85</v>
      </c>
      <c r="AD245" t="s">
        <v>85</v>
      </c>
    </row>
    <row r="246" spans="1:30" x14ac:dyDescent="0.35">
      <c r="A246" t="s">
        <v>121</v>
      </c>
      <c r="B246" s="19">
        <v>7</v>
      </c>
      <c r="C246" s="19" t="s">
        <v>130</v>
      </c>
      <c r="D246" s="19">
        <v>7</v>
      </c>
      <c r="E246" s="19" t="s">
        <v>129</v>
      </c>
      <c r="F246">
        <v>212</v>
      </c>
      <c r="G246">
        <v>9.7789999999999999</v>
      </c>
      <c r="H246" s="4" t="s">
        <v>63</v>
      </c>
      <c r="I246" s="4" t="s">
        <v>61</v>
      </c>
      <c r="J246" s="19">
        <v>7</v>
      </c>
      <c r="K246" s="19">
        <v>6</v>
      </c>
      <c r="L246">
        <v>14.350000000000001</v>
      </c>
      <c r="M246">
        <v>15.15</v>
      </c>
      <c r="N246" s="4">
        <v>34.549999999999997</v>
      </c>
      <c r="O246">
        <f t="shared" si="12"/>
        <v>35.950000000000003</v>
      </c>
      <c r="P246">
        <f t="shared" si="13"/>
        <v>22.404371584699454</v>
      </c>
      <c r="Q246">
        <f t="shared" si="14"/>
        <v>23.653395784543328</v>
      </c>
      <c r="R246">
        <f t="shared" si="15"/>
        <v>53.942232630757218</v>
      </c>
      <c r="Z246">
        <v>52.375000000000007</v>
      </c>
      <c r="AC246" t="s">
        <v>85</v>
      </c>
      <c r="AD246" t="s">
        <v>85</v>
      </c>
    </row>
    <row r="247" spans="1:30" x14ac:dyDescent="0.35">
      <c r="A247" t="s">
        <v>121</v>
      </c>
      <c r="B247" s="19">
        <v>8</v>
      </c>
      <c r="C247" s="19" t="s">
        <v>130</v>
      </c>
      <c r="D247" s="19">
        <v>7</v>
      </c>
      <c r="E247" s="19" t="s">
        <v>129</v>
      </c>
      <c r="F247">
        <v>121</v>
      </c>
      <c r="G247">
        <v>5.8310000000000004</v>
      </c>
      <c r="H247" s="4" t="s">
        <v>63</v>
      </c>
      <c r="I247" s="4" t="s">
        <v>61</v>
      </c>
      <c r="J247" s="19">
        <v>8</v>
      </c>
      <c r="K247" s="19">
        <v>6</v>
      </c>
      <c r="L247">
        <v>14.350000000000001</v>
      </c>
      <c r="M247">
        <v>15.15</v>
      </c>
      <c r="N247" s="4">
        <v>34.549999999999997</v>
      </c>
      <c r="O247">
        <f t="shared" si="12"/>
        <v>35.950000000000003</v>
      </c>
      <c r="P247">
        <f t="shared" si="13"/>
        <v>22.404371584699454</v>
      </c>
      <c r="Q247">
        <f t="shared" si="14"/>
        <v>23.653395784543328</v>
      </c>
      <c r="R247">
        <f t="shared" si="15"/>
        <v>53.942232630757218</v>
      </c>
      <c r="Z247">
        <v>53.625</v>
      </c>
      <c r="AC247" t="s">
        <v>85</v>
      </c>
      <c r="AD247" t="s">
        <v>85</v>
      </c>
    </row>
    <row r="248" spans="1:30" x14ac:dyDescent="0.35">
      <c r="A248" t="s">
        <v>123</v>
      </c>
      <c r="B248" s="19">
        <v>1</v>
      </c>
      <c r="C248" s="19" t="s">
        <v>130</v>
      </c>
      <c r="D248" s="19">
        <v>7</v>
      </c>
      <c r="E248" s="19" t="s">
        <v>129</v>
      </c>
      <c r="F248">
        <v>260</v>
      </c>
      <c r="G248">
        <v>9.2469999999999999</v>
      </c>
      <c r="H248" s="4" t="s">
        <v>63</v>
      </c>
      <c r="I248" s="4" t="s">
        <v>61</v>
      </c>
      <c r="J248" s="19">
        <v>1</v>
      </c>
      <c r="K248" s="19">
        <v>6</v>
      </c>
      <c r="L248" s="4">
        <v>19.875</v>
      </c>
      <c r="M248" s="4">
        <v>11.8</v>
      </c>
      <c r="N248" s="4">
        <v>28.1</v>
      </c>
      <c r="O248">
        <f t="shared" si="12"/>
        <v>40.225000000000001</v>
      </c>
      <c r="P248">
        <f t="shared" si="13"/>
        <v>33.249686323713924</v>
      </c>
      <c r="Q248">
        <f t="shared" si="14"/>
        <v>19.740694270179841</v>
      </c>
      <c r="R248">
        <f t="shared" si="15"/>
        <v>47.009619406106232</v>
      </c>
      <c r="Z248">
        <v>66.875</v>
      </c>
      <c r="AC248" t="s">
        <v>85</v>
      </c>
      <c r="AD248" t="s">
        <v>85</v>
      </c>
    </row>
    <row r="249" spans="1:30" x14ac:dyDescent="0.35">
      <c r="A249" t="s">
        <v>123</v>
      </c>
      <c r="B249" s="19">
        <v>2</v>
      </c>
      <c r="C249" s="19" t="s">
        <v>130</v>
      </c>
      <c r="D249" s="19">
        <v>7</v>
      </c>
      <c r="E249" s="19" t="s">
        <v>129</v>
      </c>
      <c r="F249">
        <v>208</v>
      </c>
      <c r="G249">
        <v>6.11</v>
      </c>
      <c r="H249" s="4" t="s">
        <v>63</v>
      </c>
      <c r="I249" s="4" t="s">
        <v>61</v>
      </c>
      <c r="J249" s="19">
        <v>2</v>
      </c>
      <c r="K249" s="19">
        <v>6</v>
      </c>
      <c r="L249" s="4">
        <v>19.875</v>
      </c>
      <c r="M249" s="4">
        <v>11.8</v>
      </c>
      <c r="N249" s="4">
        <v>28.1</v>
      </c>
      <c r="O249">
        <f t="shared" si="12"/>
        <v>40.225000000000001</v>
      </c>
      <c r="P249">
        <f t="shared" si="13"/>
        <v>33.249686323713924</v>
      </c>
      <c r="Q249">
        <f t="shared" si="14"/>
        <v>19.740694270179841</v>
      </c>
      <c r="R249">
        <f t="shared" si="15"/>
        <v>47.009619406106232</v>
      </c>
      <c r="Z249">
        <v>71.8125</v>
      </c>
      <c r="AC249" t="s">
        <v>85</v>
      </c>
      <c r="AD249" t="s">
        <v>85</v>
      </c>
    </row>
    <row r="250" spans="1:30" x14ac:dyDescent="0.35">
      <c r="A250" t="s">
        <v>123</v>
      </c>
      <c r="B250" s="19">
        <v>3</v>
      </c>
      <c r="C250" s="19" t="s">
        <v>130</v>
      </c>
      <c r="D250" s="19">
        <v>7</v>
      </c>
      <c r="E250" s="19" t="s">
        <v>129</v>
      </c>
      <c r="F250">
        <v>411</v>
      </c>
      <c r="G250">
        <v>8.0340000000000007</v>
      </c>
      <c r="H250" s="4" t="s">
        <v>63</v>
      </c>
      <c r="I250" s="4" t="s">
        <v>61</v>
      </c>
      <c r="J250" s="19">
        <v>3</v>
      </c>
      <c r="K250" s="19">
        <v>6</v>
      </c>
      <c r="L250" s="4">
        <v>19.875</v>
      </c>
      <c r="M250" s="4">
        <v>11.8</v>
      </c>
      <c r="N250" s="4">
        <v>28.1</v>
      </c>
      <c r="O250">
        <f t="shared" si="12"/>
        <v>40.225000000000001</v>
      </c>
      <c r="P250">
        <f t="shared" si="13"/>
        <v>33.249686323713924</v>
      </c>
      <c r="Q250">
        <f t="shared" si="14"/>
        <v>19.740694270179841</v>
      </c>
      <c r="R250">
        <f t="shared" si="15"/>
        <v>47.009619406106232</v>
      </c>
      <c r="Z250">
        <v>72.125</v>
      </c>
      <c r="AC250" t="s">
        <v>85</v>
      </c>
      <c r="AD250" t="s">
        <v>85</v>
      </c>
    </row>
    <row r="251" spans="1:30" x14ac:dyDescent="0.35">
      <c r="A251" t="s">
        <v>123</v>
      </c>
      <c r="B251" s="19">
        <v>4</v>
      </c>
      <c r="C251" s="19" t="s">
        <v>130</v>
      </c>
      <c r="D251" s="19">
        <v>7</v>
      </c>
      <c r="E251" s="19" t="s">
        <v>129</v>
      </c>
      <c r="F251">
        <v>270</v>
      </c>
      <c r="G251">
        <v>11.379</v>
      </c>
      <c r="H251" s="4" t="s">
        <v>63</v>
      </c>
      <c r="I251" s="4" t="s">
        <v>61</v>
      </c>
      <c r="J251" s="19">
        <v>4</v>
      </c>
      <c r="K251" s="19">
        <v>6</v>
      </c>
      <c r="L251" s="4">
        <v>19.875</v>
      </c>
      <c r="M251" s="4">
        <v>11.8</v>
      </c>
      <c r="N251" s="4">
        <v>28.1</v>
      </c>
      <c r="O251">
        <f t="shared" si="12"/>
        <v>40.225000000000001</v>
      </c>
      <c r="P251">
        <f t="shared" si="13"/>
        <v>33.249686323713924</v>
      </c>
      <c r="Q251">
        <f t="shared" si="14"/>
        <v>19.740694270179841</v>
      </c>
      <c r="R251">
        <f t="shared" si="15"/>
        <v>47.009619406106232</v>
      </c>
      <c r="Z251">
        <v>69.937500000000014</v>
      </c>
      <c r="AC251" t="s">
        <v>85</v>
      </c>
      <c r="AD251" t="s">
        <v>85</v>
      </c>
    </row>
    <row r="252" spans="1:30" x14ac:dyDescent="0.35">
      <c r="A252" t="s">
        <v>123</v>
      </c>
      <c r="B252" s="19">
        <v>5</v>
      </c>
      <c r="C252" s="19" t="s">
        <v>130</v>
      </c>
      <c r="D252" s="19">
        <v>7</v>
      </c>
      <c r="E252" s="19" t="s">
        <v>129</v>
      </c>
      <c r="F252">
        <v>178</v>
      </c>
      <c r="G252">
        <v>11.686999999999999</v>
      </c>
      <c r="H252" s="4" t="s">
        <v>63</v>
      </c>
      <c r="I252" s="4" t="s">
        <v>61</v>
      </c>
      <c r="J252" s="19">
        <v>5</v>
      </c>
      <c r="K252" s="19">
        <v>6</v>
      </c>
      <c r="L252" s="4">
        <v>19.875</v>
      </c>
      <c r="M252" s="4">
        <v>11.8</v>
      </c>
      <c r="N252" s="4">
        <v>28.1</v>
      </c>
      <c r="O252">
        <f t="shared" si="12"/>
        <v>40.225000000000001</v>
      </c>
      <c r="P252">
        <f t="shared" si="13"/>
        <v>33.249686323713924</v>
      </c>
      <c r="Q252">
        <f t="shared" si="14"/>
        <v>19.740694270179841</v>
      </c>
      <c r="R252">
        <f t="shared" si="15"/>
        <v>47.009619406106232</v>
      </c>
      <c r="Z252">
        <v>62.437499999999993</v>
      </c>
      <c r="AC252" t="s">
        <v>85</v>
      </c>
      <c r="AD252" t="s">
        <v>85</v>
      </c>
    </row>
    <row r="253" spans="1:30" x14ac:dyDescent="0.35">
      <c r="A253" t="s">
        <v>123</v>
      </c>
      <c r="B253" s="19">
        <v>6</v>
      </c>
      <c r="C253" s="19" t="s">
        <v>130</v>
      </c>
      <c r="D253" s="19">
        <v>7</v>
      </c>
      <c r="E253" s="19" t="s">
        <v>129</v>
      </c>
      <c r="F253">
        <v>162</v>
      </c>
      <c r="G253">
        <v>10.561</v>
      </c>
      <c r="H253" s="4" t="s">
        <v>63</v>
      </c>
      <c r="I253" s="4" t="s">
        <v>61</v>
      </c>
      <c r="J253" s="19">
        <v>6</v>
      </c>
      <c r="K253" s="19">
        <v>6</v>
      </c>
      <c r="L253" s="4">
        <v>19.875</v>
      </c>
      <c r="M253" s="4">
        <v>11.8</v>
      </c>
      <c r="N253" s="4">
        <v>28.1</v>
      </c>
      <c r="O253">
        <f t="shared" si="12"/>
        <v>40.225000000000001</v>
      </c>
      <c r="P253">
        <f t="shared" si="13"/>
        <v>33.249686323713924</v>
      </c>
      <c r="Q253">
        <f t="shared" si="14"/>
        <v>19.740694270179841</v>
      </c>
      <c r="R253">
        <f t="shared" si="15"/>
        <v>47.009619406106232</v>
      </c>
      <c r="Z253">
        <v>65.75</v>
      </c>
      <c r="AC253" t="s">
        <v>85</v>
      </c>
      <c r="AD253" t="s">
        <v>85</v>
      </c>
    </row>
    <row r="254" spans="1:30" x14ac:dyDescent="0.35">
      <c r="A254" t="s">
        <v>123</v>
      </c>
      <c r="B254" s="19">
        <v>7</v>
      </c>
      <c r="C254" s="19" t="s">
        <v>130</v>
      </c>
      <c r="D254" s="19">
        <v>7</v>
      </c>
      <c r="E254" s="19" t="s">
        <v>129</v>
      </c>
      <c r="F254">
        <v>170</v>
      </c>
      <c r="G254">
        <v>8.9469999999999992</v>
      </c>
      <c r="H254" s="4" t="s">
        <v>63</v>
      </c>
      <c r="I254" s="4" t="s">
        <v>61</v>
      </c>
      <c r="J254" s="19">
        <v>7</v>
      </c>
      <c r="K254" s="19">
        <v>6</v>
      </c>
      <c r="L254" s="4">
        <v>19.875</v>
      </c>
      <c r="M254" s="4">
        <v>11.8</v>
      </c>
      <c r="N254" s="4">
        <v>28.1</v>
      </c>
      <c r="O254">
        <f t="shared" si="12"/>
        <v>40.225000000000001</v>
      </c>
      <c r="P254">
        <f t="shared" si="13"/>
        <v>33.249686323713924</v>
      </c>
      <c r="Q254">
        <f t="shared" si="14"/>
        <v>19.740694270179841</v>
      </c>
      <c r="R254">
        <f t="shared" si="15"/>
        <v>47.009619406106232</v>
      </c>
      <c r="Z254">
        <v>47.8125</v>
      </c>
      <c r="AC254" t="s">
        <v>85</v>
      </c>
      <c r="AD254" t="s">
        <v>85</v>
      </c>
    </row>
    <row r="255" spans="1:30" x14ac:dyDescent="0.35">
      <c r="A255" t="s">
        <v>123</v>
      </c>
      <c r="B255" s="19">
        <v>8</v>
      </c>
      <c r="C255" s="19" t="s">
        <v>130</v>
      </c>
      <c r="D255" s="19">
        <v>7</v>
      </c>
      <c r="E255" s="19" t="s">
        <v>129</v>
      </c>
      <c r="F255">
        <v>181</v>
      </c>
      <c r="G255">
        <v>8.4420000000000002</v>
      </c>
      <c r="H255" s="4" t="s">
        <v>63</v>
      </c>
      <c r="I255" s="4" t="s">
        <v>61</v>
      </c>
      <c r="J255" s="19">
        <v>8</v>
      </c>
      <c r="K255" s="19">
        <v>6</v>
      </c>
      <c r="L255" s="4">
        <v>19.875</v>
      </c>
      <c r="M255" s="4">
        <v>11.8</v>
      </c>
      <c r="N255" s="4">
        <v>28.1</v>
      </c>
      <c r="O255">
        <f t="shared" si="12"/>
        <v>40.225000000000001</v>
      </c>
      <c r="P255">
        <f t="shared" si="13"/>
        <v>33.249686323713924</v>
      </c>
      <c r="Q255">
        <f t="shared" si="14"/>
        <v>19.740694270179841</v>
      </c>
      <c r="R255">
        <f t="shared" si="15"/>
        <v>47.009619406106232</v>
      </c>
      <c r="Z255">
        <v>70.1875</v>
      </c>
      <c r="AC255" t="s">
        <v>85</v>
      </c>
      <c r="AD255" t="s">
        <v>85</v>
      </c>
    </row>
    <row r="256" spans="1:30" x14ac:dyDescent="0.35">
      <c r="B256"/>
      <c r="C256"/>
      <c r="D256"/>
      <c r="E256"/>
      <c r="H256"/>
      <c r="I256"/>
      <c r="J256"/>
      <c r="K256"/>
      <c r="L256"/>
      <c r="M256"/>
    </row>
    <row r="257" spans="1:5" x14ac:dyDescent="0.35">
      <c r="A257" s="4"/>
      <c r="B257" s="4"/>
      <c r="C257" s="4"/>
      <c r="D257" s="4"/>
      <c r="E257" s="4"/>
    </row>
    <row r="258" spans="1:5" x14ac:dyDescent="0.35">
      <c r="A258" s="4"/>
      <c r="B258" s="4"/>
      <c r="C258" s="4"/>
      <c r="D258" s="4"/>
      <c r="E258" s="4"/>
    </row>
    <row r="259" spans="1:5" x14ac:dyDescent="0.35">
      <c r="A259" s="4"/>
      <c r="B259" s="4"/>
      <c r="C259" s="4"/>
      <c r="D259" s="4"/>
      <c r="E259" s="4"/>
    </row>
    <row r="260" spans="1:5" x14ac:dyDescent="0.35">
      <c r="B260" s="4"/>
      <c r="C260" s="4"/>
      <c r="D260" s="4"/>
      <c r="E260" s="4"/>
    </row>
    <row r="261" spans="1:5" x14ac:dyDescent="0.35">
      <c r="B261" s="4"/>
      <c r="C261" s="4"/>
      <c r="D261" s="4"/>
      <c r="E261" s="4"/>
    </row>
    <row r="262" spans="1:5" x14ac:dyDescent="0.35">
      <c r="B262" s="4"/>
      <c r="C262" s="4"/>
      <c r="D262" s="4"/>
      <c r="E262" s="4"/>
    </row>
    <row r="263" spans="1:5" x14ac:dyDescent="0.35">
      <c r="B263" s="4"/>
      <c r="C263" s="4"/>
      <c r="D263" s="4"/>
      <c r="E263" s="4"/>
    </row>
    <row r="264" spans="1:5" x14ac:dyDescent="0.35">
      <c r="A264" s="4"/>
      <c r="B264" s="4"/>
      <c r="C264" s="4"/>
      <c r="D264" s="4"/>
      <c r="E264" s="4"/>
    </row>
    <row r="265" spans="1:5" x14ac:dyDescent="0.35">
      <c r="A265" s="4"/>
      <c r="B265" s="4"/>
      <c r="C265" s="4"/>
      <c r="D265" s="4"/>
      <c r="E265" s="4"/>
    </row>
    <row r="266" spans="1:5" x14ac:dyDescent="0.35">
      <c r="A266" s="4"/>
      <c r="B266" s="4"/>
      <c r="C266" s="4"/>
      <c r="D266" s="4"/>
      <c r="E266" s="4"/>
    </row>
    <row r="267" spans="1:5" x14ac:dyDescent="0.35">
      <c r="A267" s="4"/>
      <c r="B267" s="4"/>
      <c r="C267" s="4"/>
      <c r="D267" s="4"/>
      <c r="E267" s="4"/>
    </row>
    <row r="268" spans="1:5" x14ac:dyDescent="0.35">
      <c r="A268" s="4"/>
      <c r="B268" s="4"/>
      <c r="C268" s="4"/>
      <c r="D268" s="4"/>
      <c r="E268" s="4"/>
    </row>
    <row r="269" spans="1:5" x14ac:dyDescent="0.35">
      <c r="A269" s="4"/>
      <c r="B269" s="4"/>
      <c r="C269" s="4"/>
      <c r="D269" s="4"/>
      <c r="E269" s="4"/>
    </row>
    <row r="270" spans="1:5" x14ac:dyDescent="0.35">
      <c r="A270" s="4"/>
      <c r="B270" s="4"/>
      <c r="C270" s="4"/>
      <c r="D270" s="4"/>
      <c r="E270" s="4"/>
    </row>
    <row r="271" spans="1:5" x14ac:dyDescent="0.35">
      <c r="A271" s="4"/>
      <c r="B271" s="4"/>
      <c r="C271" s="4"/>
      <c r="D271" s="4"/>
      <c r="E271" s="4"/>
    </row>
    <row r="272" spans="1:5" x14ac:dyDescent="0.35">
      <c r="A272" s="4"/>
      <c r="B272" s="4"/>
      <c r="C272" s="4"/>
      <c r="D272" s="4"/>
      <c r="E272" s="4"/>
    </row>
    <row r="273" spans="1:5" x14ac:dyDescent="0.35">
      <c r="A273" s="4"/>
      <c r="B273" s="4"/>
      <c r="C273" s="4"/>
      <c r="D273" s="4"/>
      <c r="E273" s="4"/>
    </row>
    <row r="274" spans="1:5" x14ac:dyDescent="0.35">
      <c r="A274" s="4"/>
      <c r="B274" s="4"/>
      <c r="C274" s="4"/>
      <c r="D274" s="4"/>
      <c r="E274" s="4"/>
    </row>
    <row r="275" spans="1:5" x14ac:dyDescent="0.35">
      <c r="A275" s="4"/>
      <c r="B275" s="4"/>
      <c r="C275" s="4"/>
      <c r="D275" s="4"/>
      <c r="E275" s="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E334-D947-49B7-930E-59153DE85D9E}">
  <dimension ref="A1:AF163"/>
  <sheetViews>
    <sheetView tabSelected="1" workbookViewId="0">
      <selection activeCell="Z2" sqref="Z2"/>
    </sheetView>
  </sheetViews>
  <sheetFormatPr defaultRowHeight="14.5" x14ac:dyDescent="0.35"/>
  <cols>
    <col min="1" max="1" width="38.1796875" bestFit="1" customWidth="1"/>
    <col min="26" max="26" width="23" customWidth="1"/>
    <col min="27" max="27" width="18" customWidth="1"/>
    <col min="28" max="28" width="16.90625" customWidth="1"/>
  </cols>
  <sheetData>
    <row r="1" spans="1:32" x14ac:dyDescent="0.35">
      <c r="A1" s="10" t="s">
        <v>28</v>
      </c>
      <c r="B1" s="15" t="s">
        <v>30</v>
      </c>
      <c r="C1" s="15" t="s">
        <v>167</v>
      </c>
      <c r="D1" s="15" t="s">
        <v>81</v>
      </c>
      <c r="E1" s="15" t="s">
        <v>151</v>
      </c>
      <c r="F1" s="10" t="s">
        <v>27</v>
      </c>
      <c r="G1" s="11" t="s">
        <v>29</v>
      </c>
      <c r="H1" s="15" t="s">
        <v>64</v>
      </c>
      <c r="I1" s="15" t="s">
        <v>168</v>
      </c>
      <c r="J1" s="15" t="s">
        <v>84</v>
      </c>
      <c r="K1" s="15" t="s">
        <v>169</v>
      </c>
      <c r="L1" s="11" t="s">
        <v>1</v>
      </c>
      <c r="M1" s="11" t="s">
        <v>2</v>
      </c>
      <c r="N1" s="11" t="s">
        <v>3</v>
      </c>
      <c r="O1" s="11" t="s">
        <v>135</v>
      </c>
      <c r="P1" s="11" t="s">
        <v>117</v>
      </c>
      <c r="Q1" s="11" t="s">
        <v>118</v>
      </c>
      <c r="R1" s="11" t="s">
        <v>119</v>
      </c>
      <c r="S1" s="25" t="s">
        <v>157</v>
      </c>
      <c r="T1" s="25" t="s">
        <v>158</v>
      </c>
      <c r="U1" s="25" t="s">
        <v>159</v>
      </c>
      <c r="V1" s="25" t="s">
        <v>160</v>
      </c>
      <c r="W1" s="25" t="s">
        <v>161</v>
      </c>
      <c r="X1" s="25" t="s">
        <v>162</v>
      </c>
      <c r="Y1" s="25" t="s">
        <v>154</v>
      </c>
      <c r="Z1" s="20" t="s">
        <v>171</v>
      </c>
      <c r="AA1" s="20" t="s">
        <v>163</v>
      </c>
      <c r="AB1" s="20" t="s">
        <v>164</v>
      </c>
      <c r="AC1" s="20" t="s">
        <v>170</v>
      </c>
      <c r="AD1" s="20" t="s">
        <v>165</v>
      </c>
      <c r="AE1" s="20" t="s">
        <v>166</v>
      </c>
      <c r="AF1" s="20" t="s">
        <v>90</v>
      </c>
    </row>
    <row r="2" spans="1:32" x14ac:dyDescent="0.35">
      <c r="A2" t="s">
        <v>4</v>
      </c>
      <c r="B2" s="19">
        <v>1</v>
      </c>
      <c r="C2" s="19" t="s">
        <v>125</v>
      </c>
      <c r="D2" s="19">
        <v>2</v>
      </c>
      <c r="E2" s="19" t="s">
        <v>125</v>
      </c>
      <c r="F2" s="18">
        <v>516</v>
      </c>
      <c r="G2">
        <v>12.16</v>
      </c>
      <c r="H2" s="14" t="s">
        <v>62</v>
      </c>
      <c r="I2" s="4" t="s">
        <v>82</v>
      </c>
      <c r="J2" s="19">
        <v>1</v>
      </c>
      <c r="K2" s="19">
        <v>6</v>
      </c>
      <c r="L2" s="8">
        <v>14.4</v>
      </c>
      <c r="M2" s="2">
        <v>7</v>
      </c>
      <c r="N2" s="2">
        <v>57</v>
      </c>
      <c r="O2" s="2">
        <f t="shared" ref="O2:O65" si="0">100-L2-M2-N2</f>
        <v>21.599999999999994</v>
      </c>
      <c r="P2" s="2">
        <f t="shared" ref="P2:P65" si="1">(L2/(SUM(L2:N2))*100)</f>
        <v>18.367346938775508</v>
      </c>
      <c r="Q2" s="2">
        <f t="shared" ref="Q2:Q65" si="2">(M2/(SUM(L2:N2))*100)</f>
        <v>8.928571428571427</v>
      </c>
      <c r="R2" s="2">
        <f t="shared" ref="R2:R65" si="3">(N2/(SUM(L2:N2))*100)</f>
        <v>72.704081632653057</v>
      </c>
      <c r="S2" s="22">
        <v>1.7671367687543071</v>
      </c>
      <c r="T2" s="22">
        <v>0.13882790210293663</v>
      </c>
      <c r="U2" s="22">
        <v>1.7787622393738314</v>
      </c>
      <c r="V2" s="22">
        <v>0.17471423909349709</v>
      </c>
      <c r="W2" s="22">
        <v>9.2172632990519775E-3</v>
      </c>
      <c r="X2" s="22">
        <v>3.8686584126236241</v>
      </c>
      <c r="Y2" s="22">
        <v>84.149968284496524</v>
      </c>
      <c r="Z2" s="2">
        <v>60.8125</v>
      </c>
      <c r="AA2" s="6">
        <v>0.13299999999999912</v>
      </c>
      <c r="AB2" s="2">
        <v>6.6800602712204489</v>
      </c>
      <c r="AC2" t="s">
        <v>85</v>
      </c>
      <c r="AD2" t="s">
        <v>85</v>
      </c>
      <c r="AE2" t="s">
        <v>85</v>
      </c>
    </row>
    <row r="3" spans="1:32" x14ac:dyDescent="0.35">
      <c r="A3" t="s">
        <v>4</v>
      </c>
      <c r="B3" s="19">
        <v>2</v>
      </c>
      <c r="C3" s="19" t="s">
        <v>125</v>
      </c>
      <c r="D3" s="19">
        <v>2</v>
      </c>
      <c r="E3" s="19" t="s">
        <v>125</v>
      </c>
      <c r="F3" s="18">
        <v>174</v>
      </c>
      <c r="G3">
        <v>4.0890000000000004</v>
      </c>
      <c r="H3" s="14" t="s">
        <v>62</v>
      </c>
      <c r="I3" s="4" t="s">
        <v>82</v>
      </c>
      <c r="J3" s="19">
        <v>2</v>
      </c>
      <c r="K3" s="19">
        <v>6</v>
      </c>
      <c r="L3" s="8">
        <v>14.4</v>
      </c>
      <c r="M3" s="2">
        <v>7</v>
      </c>
      <c r="N3" s="2">
        <v>57</v>
      </c>
      <c r="O3" s="2">
        <f t="shared" si="0"/>
        <v>21.599999999999994</v>
      </c>
      <c r="P3" s="2">
        <f t="shared" si="1"/>
        <v>18.367346938775508</v>
      </c>
      <c r="Q3" s="2">
        <f t="shared" si="2"/>
        <v>8.928571428571427</v>
      </c>
      <c r="R3" s="2">
        <f t="shared" si="3"/>
        <v>72.704081632653057</v>
      </c>
      <c r="S3" s="22"/>
      <c r="T3" s="22"/>
      <c r="U3" s="22"/>
      <c r="V3" s="22"/>
      <c r="W3" s="22"/>
      <c r="X3" s="22"/>
      <c r="Y3" s="22"/>
      <c r="Z3" s="2"/>
      <c r="AA3" s="6"/>
      <c r="AB3" s="2"/>
      <c r="AC3" t="s">
        <v>85</v>
      </c>
      <c r="AD3" t="s">
        <v>85</v>
      </c>
      <c r="AE3" t="s">
        <v>85</v>
      </c>
    </row>
    <row r="4" spans="1:32" x14ac:dyDescent="0.35">
      <c r="A4" t="s">
        <v>4</v>
      </c>
      <c r="B4" s="19">
        <v>3</v>
      </c>
      <c r="C4" s="19" t="s">
        <v>125</v>
      </c>
      <c r="D4" s="19">
        <v>2</v>
      </c>
      <c r="E4" s="19" t="s">
        <v>125</v>
      </c>
      <c r="F4" s="18">
        <v>346</v>
      </c>
      <c r="G4">
        <v>7.2089999999999996</v>
      </c>
      <c r="H4" s="14" t="s">
        <v>62</v>
      </c>
      <c r="I4" s="4" t="s">
        <v>82</v>
      </c>
      <c r="J4" s="19">
        <v>3</v>
      </c>
      <c r="K4" s="19">
        <v>6</v>
      </c>
      <c r="L4" s="8">
        <v>14.4</v>
      </c>
      <c r="M4" s="2">
        <v>7</v>
      </c>
      <c r="N4" s="2">
        <v>57</v>
      </c>
      <c r="O4" s="2">
        <f t="shared" si="0"/>
        <v>21.599999999999994</v>
      </c>
      <c r="P4" s="2">
        <f t="shared" si="1"/>
        <v>18.367346938775508</v>
      </c>
      <c r="Q4" s="2">
        <f t="shared" si="2"/>
        <v>8.928571428571427</v>
      </c>
      <c r="R4" s="2">
        <f t="shared" si="3"/>
        <v>72.704081632653057</v>
      </c>
      <c r="S4" s="22"/>
      <c r="T4" s="22"/>
      <c r="U4" s="22"/>
      <c r="V4" s="22"/>
      <c r="W4" s="22"/>
      <c r="X4" s="22"/>
      <c r="Y4" s="22"/>
      <c r="Z4" s="2"/>
      <c r="AA4" s="6"/>
      <c r="AB4" s="2"/>
      <c r="AC4" t="s">
        <v>85</v>
      </c>
      <c r="AD4" t="s">
        <v>85</v>
      </c>
    </row>
    <row r="5" spans="1:32" x14ac:dyDescent="0.35">
      <c r="A5" t="s">
        <v>4</v>
      </c>
      <c r="B5" s="19">
        <v>4</v>
      </c>
      <c r="C5" s="19" t="s">
        <v>125</v>
      </c>
      <c r="D5" s="19">
        <v>2</v>
      </c>
      <c r="E5" s="19" t="s">
        <v>125</v>
      </c>
      <c r="F5" s="18">
        <v>399</v>
      </c>
      <c r="G5">
        <v>8.58</v>
      </c>
      <c r="H5" s="14" t="s">
        <v>62</v>
      </c>
      <c r="I5" s="4" t="s">
        <v>82</v>
      </c>
      <c r="J5" s="19">
        <v>4</v>
      </c>
      <c r="K5" s="19">
        <v>6</v>
      </c>
      <c r="L5" s="8">
        <v>14.4</v>
      </c>
      <c r="M5" s="2">
        <v>7</v>
      </c>
      <c r="N5" s="2">
        <v>57</v>
      </c>
      <c r="O5" s="2">
        <f t="shared" si="0"/>
        <v>21.599999999999994</v>
      </c>
      <c r="P5" s="2">
        <f t="shared" si="1"/>
        <v>18.367346938775508</v>
      </c>
      <c r="Q5" s="2">
        <f t="shared" si="2"/>
        <v>8.928571428571427</v>
      </c>
      <c r="R5" s="2">
        <f t="shared" si="3"/>
        <v>72.704081632653057</v>
      </c>
      <c r="S5" s="22"/>
      <c r="T5" s="22"/>
      <c r="U5" s="22"/>
      <c r="V5" s="22"/>
      <c r="W5" s="22"/>
      <c r="X5" s="22"/>
      <c r="Y5" s="22"/>
      <c r="Z5" s="2"/>
      <c r="AA5" s="6"/>
      <c r="AB5" s="2"/>
      <c r="AC5" t="s">
        <v>85</v>
      </c>
      <c r="AD5" t="s">
        <v>85</v>
      </c>
    </row>
    <row r="6" spans="1:32" x14ac:dyDescent="0.35">
      <c r="A6" t="s">
        <v>4</v>
      </c>
      <c r="B6" s="19">
        <v>5</v>
      </c>
      <c r="C6" s="19" t="s">
        <v>125</v>
      </c>
      <c r="D6" s="19">
        <v>2</v>
      </c>
      <c r="E6" s="19" t="s">
        <v>125</v>
      </c>
      <c r="F6" s="18">
        <f>321+281</f>
        <v>602</v>
      </c>
      <c r="G6">
        <v>24.419</v>
      </c>
      <c r="H6" s="14" t="s">
        <v>62</v>
      </c>
      <c r="I6" s="4" t="s">
        <v>82</v>
      </c>
      <c r="J6" s="19">
        <v>5</v>
      </c>
      <c r="K6" s="19">
        <v>6</v>
      </c>
      <c r="L6" s="8">
        <v>14.4</v>
      </c>
      <c r="M6" s="2">
        <v>7</v>
      </c>
      <c r="N6" s="2">
        <v>57</v>
      </c>
      <c r="O6" s="2">
        <f t="shared" si="0"/>
        <v>21.599999999999994</v>
      </c>
      <c r="P6" s="2">
        <f t="shared" si="1"/>
        <v>18.367346938775508</v>
      </c>
      <c r="Q6" s="2">
        <f t="shared" si="2"/>
        <v>8.928571428571427</v>
      </c>
      <c r="R6" s="2">
        <f t="shared" si="3"/>
        <v>72.704081632653057</v>
      </c>
      <c r="S6" s="22">
        <v>1.5308566553244247</v>
      </c>
      <c r="T6" s="22">
        <v>0.13371849791451373</v>
      </c>
      <c r="U6" s="22">
        <v>1.5368418942207804</v>
      </c>
      <c r="V6" s="22">
        <v>0.15177600505242361</v>
      </c>
      <c r="W6" s="22">
        <v>2.101851497540556E-2</v>
      </c>
      <c r="X6" s="22">
        <v>3.3742115674875484</v>
      </c>
      <c r="Y6" s="22">
        <v>63.600444305439012</v>
      </c>
      <c r="Z6" s="2">
        <v>61.4375</v>
      </c>
      <c r="AA6" s="6">
        <v>0.10899999999999999</v>
      </c>
      <c r="AB6" s="2">
        <v>5.4663991975927804</v>
      </c>
      <c r="AC6" t="s">
        <v>85</v>
      </c>
      <c r="AD6" t="s">
        <v>85</v>
      </c>
      <c r="AE6" t="s">
        <v>85</v>
      </c>
    </row>
    <row r="7" spans="1:32" x14ac:dyDescent="0.35">
      <c r="A7" t="s">
        <v>4</v>
      </c>
      <c r="B7" s="19">
        <v>6</v>
      </c>
      <c r="C7" s="19" t="s">
        <v>125</v>
      </c>
      <c r="D7" s="19">
        <v>2</v>
      </c>
      <c r="E7" s="19" t="s">
        <v>125</v>
      </c>
      <c r="F7" s="18">
        <f>421+335</f>
        <v>756</v>
      </c>
      <c r="G7">
        <v>27.988</v>
      </c>
      <c r="H7" s="14" t="s">
        <v>62</v>
      </c>
      <c r="I7" s="4" t="s">
        <v>82</v>
      </c>
      <c r="J7" s="19">
        <v>6</v>
      </c>
      <c r="K7" s="19">
        <v>6</v>
      </c>
      <c r="L7" s="8">
        <v>14.4</v>
      </c>
      <c r="M7" s="2">
        <v>7</v>
      </c>
      <c r="N7" s="2">
        <v>57</v>
      </c>
      <c r="O7" s="2">
        <f t="shared" si="0"/>
        <v>21.599999999999994</v>
      </c>
      <c r="P7" s="2">
        <f t="shared" si="1"/>
        <v>18.367346938775508</v>
      </c>
      <c r="Q7" s="2">
        <f t="shared" si="2"/>
        <v>8.928571428571427</v>
      </c>
      <c r="R7" s="2">
        <f t="shared" si="3"/>
        <v>72.704081632653057</v>
      </c>
      <c r="S7" s="22">
        <v>1.6402957462611931</v>
      </c>
      <c r="T7" s="22">
        <v>0.13321693276998722</v>
      </c>
      <c r="U7" s="22">
        <v>1.5723103984240874</v>
      </c>
      <c r="V7" s="22">
        <v>0.1348113411562801</v>
      </c>
      <c r="W7" s="22">
        <v>7.8853161354021477E-3</v>
      </c>
      <c r="X7" s="22">
        <v>3.4885197347469501</v>
      </c>
      <c r="Y7" s="22">
        <v>66.310559714607223</v>
      </c>
      <c r="Z7" s="2">
        <v>54.8125</v>
      </c>
      <c r="AA7" s="6">
        <v>0.29400000000000048</v>
      </c>
      <c r="AB7" s="2">
        <v>7.2431633407243261</v>
      </c>
      <c r="AC7" t="s">
        <v>85</v>
      </c>
      <c r="AD7" t="s">
        <v>85</v>
      </c>
    </row>
    <row r="8" spans="1:32" x14ac:dyDescent="0.35">
      <c r="A8" t="s">
        <v>4</v>
      </c>
      <c r="B8" s="19">
        <v>7</v>
      </c>
      <c r="C8" s="19" t="s">
        <v>125</v>
      </c>
      <c r="D8" s="19">
        <v>2</v>
      </c>
      <c r="E8" s="19" t="s">
        <v>125</v>
      </c>
      <c r="F8" s="18">
        <f>331+384</f>
        <v>715</v>
      </c>
      <c r="G8">
        <v>22.637</v>
      </c>
      <c r="H8" s="14" t="s">
        <v>62</v>
      </c>
      <c r="I8" s="4" t="s">
        <v>82</v>
      </c>
      <c r="J8" s="19">
        <v>7</v>
      </c>
      <c r="K8" s="19">
        <v>6</v>
      </c>
      <c r="L8" s="8">
        <v>14.4</v>
      </c>
      <c r="M8" s="2">
        <v>7</v>
      </c>
      <c r="N8" s="2">
        <v>57</v>
      </c>
      <c r="O8" s="2">
        <f t="shared" si="0"/>
        <v>21.599999999999994</v>
      </c>
      <c r="P8" s="2">
        <f t="shared" si="1"/>
        <v>18.367346938775508</v>
      </c>
      <c r="Q8" s="2">
        <f t="shared" si="2"/>
        <v>8.928571428571427</v>
      </c>
      <c r="R8" s="2">
        <f t="shared" si="3"/>
        <v>72.704081632653057</v>
      </c>
      <c r="S8" s="22">
        <v>1.9137982845516708</v>
      </c>
      <c r="T8" s="22">
        <v>9.0789144749438208E-2</v>
      </c>
      <c r="U8" s="22">
        <v>1.3949952292216774</v>
      </c>
      <c r="V8" s="22">
        <v>9.4999728758482879E-2</v>
      </c>
      <c r="W8" s="22">
        <v>2.6552317574369748E-3</v>
      </c>
      <c r="X8" s="22">
        <v>3.4972376190387062</v>
      </c>
      <c r="Y8" s="22">
        <v>77.097909941754978</v>
      </c>
      <c r="Z8" s="2">
        <v>52.937500000000007</v>
      </c>
      <c r="AA8" s="6">
        <v>9.9999999999999645E-2</v>
      </c>
      <c r="AB8" s="2">
        <v>3.1123560535325141</v>
      </c>
      <c r="AC8" t="s">
        <v>85</v>
      </c>
      <c r="AD8" t="s">
        <v>85</v>
      </c>
      <c r="AE8" t="s">
        <v>85</v>
      </c>
    </row>
    <row r="9" spans="1:32" x14ac:dyDescent="0.35">
      <c r="A9" t="s">
        <v>4</v>
      </c>
      <c r="B9" s="19">
        <v>8</v>
      </c>
      <c r="C9" s="19" t="s">
        <v>125</v>
      </c>
      <c r="D9" s="19">
        <v>2</v>
      </c>
      <c r="E9" s="19" t="s">
        <v>125</v>
      </c>
      <c r="F9" s="18">
        <f>318+217</f>
        <v>535</v>
      </c>
      <c r="G9">
        <v>35.103000000000002</v>
      </c>
      <c r="H9" s="14" t="s">
        <v>62</v>
      </c>
      <c r="I9" s="4" t="s">
        <v>82</v>
      </c>
      <c r="J9" s="19">
        <v>8</v>
      </c>
      <c r="K9" s="19">
        <v>6</v>
      </c>
      <c r="L9" s="8">
        <v>14.4</v>
      </c>
      <c r="M9" s="2">
        <v>7</v>
      </c>
      <c r="N9" s="2">
        <v>57</v>
      </c>
      <c r="O9" s="2">
        <f t="shared" si="0"/>
        <v>21.599999999999994</v>
      </c>
      <c r="P9" s="2">
        <f t="shared" si="1"/>
        <v>18.367346938775508</v>
      </c>
      <c r="Q9" s="2">
        <f t="shared" si="2"/>
        <v>8.928571428571427</v>
      </c>
      <c r="R9" s="2">
        <f t="shared" si="3"/>
        <v>72.704081632653057</v>
      </c>
      <c r="S9" s="22">
        <v>2.1757779395378263</v>
      </c>
      <c r="T9" s="22">
        <v>0.10607718227029819</v>
      </c>
      <c r="U9" s="22">
        <v>1.4351747216443789</v>
      </c>
      <c r="V9" s="22">
        <v>9.74114096267122E-2</v>
      </c>
      <c r="W9" s="22">
        <v>1.8197196354289883E-3</v>
      </c>
      <c r="X9" s="22">
        <v>3.8162609727146446</v>
      </c>
      <c r="Y9" s="22">
        <v>83.17680479737686</v>
      </c>
      <c r="Z9" s="2">
        <v>46.250000000000007</v>
      </c>
      <c r="AA9" s="6">
        <v>0.19500000000000028</v>
      </c>
      <c r="AB9" s="2">
        <v>6.780250347705155</v>
      </c>
      <c r="AC9" t="s">
        <v>85</v>
      </c>
      <c r="AD9" t="s">
        <v>85</v>
      </c>
    </row>
    <row r="10" spans="1:32" x14ac:dyDescent="0.35">
      <c r="A10" t="s">
        <v>4</v>
      </c>
      <c r="B10" s="19">
        <v>9</v>
      </c>
      <c r="C10" s="19" t="s">
        <v>124</v>
      </c>
      <c r="D10" s="19">
        <v>1</v>
      </c>
      <c r="E10" s="19"/>
      <c r="F10">
        <v>162</v>
      </c>
      <c r="G10">
        <v>3.3769999999999998</v>
      </c>
      <c r="H10" s="14" t="s">
        <v>62</v>
      </c>
      <c r="I10" s="4" t="s">
        <v>82</v>
      </c>
      <c r="J10" s="19">
        <v>1</v>
      </c>
      <c r="K10" s="19">
        <v>6</v>
      </c>
      <c r="L10" s="8">
        <v>14.4</v>
      </c>
      <c r="M10" s="2">
        <v>7</v>
      </c>
      <c r="N10" s="2">
        <v>57</v>
      </c>
      <c r="O10" s="2">
        <f t="shared" si="0"/>
        <v>21.599999999999994</v>
      </c>
      <c r="P10" s="2">
        <f t="shared" si="1"/>
        <v>18.367346938775508</v>
      </c>
      <c r="Q10" s="2">
        <f t="shared" si="2"/>
        <v>8.928571428571427</v>
      </c>
      <c r="R10" s="2">
        <f t="shared" si="3"/>
        <v>72.704081632653057</v>
      </c>
      <c r="S10" s="22"/>
      <c r="T10" s="22"/>
      <c r="U10" s="22"/>
      <c r="V10" s="22"/>
      <c r="W10" s="22"/>
      <c r="X10" s="22"/>
      <c r="Y10" s="22"/>
      <c r="Z10" s="2"/>
      <c r="AA10" s="6"/>
      <c r="AB10" s="2"/>
      <c r="AC10" t="s">
        <v>87</v>
      </c>
      <c r="AD10" t="s">
        <v>87</v>
      </c>
    </row>
    <row r="11" spans="1:32" x14ac:dyDescent="0.35">
      <c r="A11" t="s">
        <v>4</v>
      </c>
      <c r="B11" s="19">
        <v>10</v>
      </c>
      <c r="C11" s="19" t="s">
        <v>124</v>
      </c>
      <c r="D11" s="19">
        <v>1</v>
      </c>
      <c r="E11" s="19"/>
      <c r="F11">
        <v>182</v>
      </c>
      <c r="G11">
        <v>6.056</v>
      </c>
      <c r="H11" s="14" t="s">
        <v>62</v>
      </c>
      <c r="I11" s="4" t="s">
        <v>82</v>
      </c>
      <c r="J11" s="19">
        <v>2</v>
      </c>
      <c r="K11" s="19">
        <v>6</v>
      </c>
      <c r="L11" s="8">
        <v>14.4</v>
      </c>
      <c r="M11" s="2">
        <v>7</v>
      </c>
      <c r="N11" s="2">
        <v>57</v>
      </c>
      <c r="O11" s="2">
        <f t="shared" si="0"/>
        <v>21.599999999999994</v>
      </c>
      <c r="P11" s="2">
        <f t="shared" si="1"/>
        <v>18.367346938775508</v>
      </c>
      <c r="Q11" s="2">
        <f t="shared" si="2"/>
        <v>8.928571428571427</v>
      </c>
      <c r="R11" s="2">
        <f t="shared" si="3"/>
        <v>72.704081632653057</v>
      </c>
      <c r="S11" s="22"/>
      <c r="T11" s="22"/>
      <c r="U11" s="22"/>
      <c r="V11" s="22"/>
      <c r="W11" s="22"/>
      <c r="X11" s="22"/>
      <c r="Y11" s="22"/>
      <c r="Z11" s="2"/>
      <c r="AA11" s="6"/>
      <c r="AB11" s="2"/>
      <c r="AC11" t="s">
        <v>87</v>
      </c>
      <c r="AD11" t="s">
        <v>87</v>
      </c>
    </row>
    <row r="12" spans="1:32" x14ac:dyDescent="0.35">
      <c r="A12" t="s">
        <v>4</v>
      </c>
      <c r="B12" s="19">
        <v>11</v>
      </c>
      <c r="C12" s="19" t="s">
        <v>126</v>
      </c>
      <c r="D12" s="19">
        <v>3</v>
      </c>
      <c r="E12" s="19" t="s">
        <v>126</v>
      </c>
      <c r="F12">
        <v>337</v>
      </c>
      <c r="G12" s="2">
        <v>7.72</v>
      </c>
      <c r="H12" s="4" t="s">
        <v>63</v>
      </c>
      <c r="I12" s="4" t="s">
        <v>61</v>
      </c>
      <c r="J12" s="19">
        <v>1</v>
      </c>
      <c r="K12" s="19">
        <v>7</v>
      </c>
      <c r="L12" s="8">
        <v>14.4</v>
      </c>
      <c r="M12" s="2">
        <v>7</v>
      </c>
      <c r="N12" s="2">
        <v>57</v>
      </c>
      <c r="O12" s="2">
        <f t="shared" si="0"/>
        <v>21.599999999999994</v>
      </c>
      <c r="P12" s="2">
        <f t="shared" si="1"/>
        <v>18.367346938775508</v>
      </c>
      <c r="Q12" s="2">
        <f t="shared" si="2"/>
        <v>8.928571428571427</v>
      </c>
      <c r="R12" s="2">
        <f t="shared" si="3"/>
        <v>72.704081632653057</v>
      </c>
      <c r="S12" s="22"/>
      <c r="T12" s="22"/>
      <c r="U12" s="22"/>
      <c r="V12" s="22"/>
      <c r="W12" s="22"/>
      <c r="X12" s="22"/>
      <c r="Y12" s="22"/>
      <c r="Z12" s="2"/>
      <c r="AA12" s="6"/>
      <c r="AB12" s="2"/>
      <c r="AC12" t="s">
        <v>85</v>
      </c>
      <c r="AD12" t="s">
        <v>85</v>
      </c>
    </row>
    <row r="13" spans="1:32" x14ac:dyDescent="0.35">
      <c r="A13" t="s">
        <v>4</v>
      </c>
      <c r="B13" s="19">
        <v>12</v>
      </c>
      <c r="C13" s="19" t="s">
        <v>126</v>
      </c>
      <c r="D13" s="19">
        <v>3</v>
      </c>
      <c r="E13" s="19" t="s">
        <v>126</v>
      </c>
      <c r="F13">
        <v>410</v>
      </c>
      <c r="G13" s="2">
        <v>11.506</v>
      </c>
      <c r="H13" s="4" t="s">
        <v>63</v>
      </c>
      <c r="I13" s="4" t="s">
        <v>61</v>
      </c>
      <c r="J13" s="19">
        <v>2</v>
      </c>
      <c r="K13" s="19">
        <v>7</v>
      </c>
      <c r="L13" s="8">
        <v>14.4</v>
      </c>
      <c r="M13" s="2">
        <v>7</v>
      </c>
      <c r="N13" s="2">
        <v>57</v>
      </c>
      <c r="O13" s="2">
        <f t="shared" si="0"/>
        <v>21.599999999999994</v>
      </c>
      <c r="P13" s="2">
        <f t="shared" si="1"/>
        <v>18.367346938775508</v>
      </c>
      <c r="Q13" s="2">
        <f t="shared" si="2"/>
        <v>8.928571428571427</v>
      </c>
      <c r="R13" s="2">
        <f t="shared" si="3"/>
        <v>72.704081632653057</v>
      </c>
      <c r="S13" s="22"/>
      <c r="T13" s="22"/>
      <c r="U13" s="22"/>
      <c r="V13" s="22"/>
      <c r="W13" s="22"/>
      <c r="X13" s="22"/>
      <c r="Y13" s="22"/>
      <c r="Z13" s="2"/>
      <c r="AA13" s="6"/>
      <c r="AB13" s="2"/>
      <c r="AC13" t="s">
        <v>85</v>
      </c>
      <c r="AD13" t="s">
        <v>85</v>
      </c>
    </row>
    <row r="14" spans="1:32" x14ac:dyDescent="0.35">
      <c r="A14" t="s">
        <v>4</v>
      </c>
      <c r="B14" s="19">
        <v>13</v>
      </c>
      <c r="C14" s="19" t="s">
        <v>126</v>
      </c>
      <c r="D14" s="19">
        <v>3</v>
      </c>
      <c r="E14" s="19" t="s">
        <v>126</v>
      </c>
      <c r="F14">
        <v>357</v>
      </c>
      <c r="G14" s="2">
        <v>11.55</v>
      </c>
      <c r="H14" s="4" t="s">
        <v>63</v>
      </c>
      <c r="I14" s="4" t="s">
        <v>61</v>
      </c>
      <c r="J14" s="19">
        <v>3</v>
      </c>
      <c r="K14" s="19">
        <v>7</v>
      </c>
      <c r="L14" s="8">
        <v>14.4</v>
      </c>
      <c r="M14" s="2">
        <v>7</v>
      </c>
      <c r="N14" s="2">
        <v>57</v>
      </c>
      <c r="O14" s="2">
        <f t="shared" si="0"/>
        <v>21.599999999999994</v>
      </c>
      <c r="P14" s="2">
        <f t="shared" si="1"/>
        <v>18.367346938775508</v>
      </c>
      <c r="Q14" s="2">
        <f t="shared" si="2"/>
        <v>8.928571428571427</v>
      </c>
      <c r="R14" s="2">
        <f t="shared" si="3"/>
        <v>72.704081632653057</v>
      </c>
      <c r="S14" s="22"/>
      <c r="T14" s="22"/>
      <c r="U14" s="22"/>
      <c r="V14" s="22"/>
      <c r="W14" s="22"/>
      <c r="X14" s="22"/>
      <c r="Y14" s="22"/>
      <c r="Z14" s="2"/>
      <c r="AA14" s="6"/>
      <c r="AB14" s="2"/>
      <c r="AC14" t="s">
        <v>85</v>
      </c>
      <c r="AD14" t="s">
        <v>85</v>
      </c>
    </row>
    <row r="15" spans="1:32" x14ac:dyDescent="0.35">
      <c r="A15" t="s">
        <v>4</v>
      </c>
      <c r="B15" s="19">
        <v>14</v>
      </c>
      <c r="C15" s="19" t="s">
        <v>126</v>
      </c>
      <c r="D15" s="19">
        <v>3</v>
      </c>
      <c r="E15" s="19" t="s">
        <v>126</v>
      </c>
      <c r="F15">
        <v>117</v>
      </c>
      <c r="G15" s="2">
        <v>8.1059999999999999</v>
      </c>
      <c r="H15" s="4" t="s">
        <v>63</v>
      </c>
      <c r="I15" s="4" t="s">
        <v>61</v>
      </c>
      <c r="J15" s="19">
        <v>4</v>
      </c>
      <c r="K15" s="19">
        <v>7</v>
      </c>
      <c r="L15" s="8">
        <v>14.4</v>
      </c>
      <c r="M15" s="2">
        <v>7</v>
      </c>
      <c r="N15" s="2">
        <v>57</v>
      </c>
      <c r="O15" s="2">
        <f t="shared" si="0"/>
        <v>21.599999999999994</v>
      </c>
      <c r="P15" s="2">
        <f t="shared" si="1"/>
        <v>18.367346938775508</v>
      </c>
      <c r="Q15" s="2">
        <f t="shared" si="2"/>
        <v>8.928571428571427</v>
      </c>
      <c r="R15" s="2">
        <f t="shared" si="3"/>
        <v>72.704081632653057</v>
      </c>
      <c r="S15" s="22"/>
      <c r="T15" s="22"/>
      <c r="U15" s="22"/>
      <c r="V15" s="22"/>
      <c r="W15" s="22"/>
      <c r="X15" s="22"/>
      <c r="Y15" s="22"/>
      <c r="Z15" s="2"/>
      <c r="AA15" s="6"/>
      <c r="AB15" s="2"/>
      <c r="AC15" t="s">
        <v>85</v>
      </c>
      <c r="AD15" t="s">
        <v>85</v>
      </c>
    </row>
    <row r="16" spans="1:32" x14ac:dyDescent="0.35">
      <c r="A16" t="s">
        <v>4</v>
      </c>
      <c r="B16" s="19">
        <v>15</v>
      </c>
      <c r="C16" s="19" t="s">
        <v>126</v>
      </c>
      <c r="D16" s="19">
        <v>3</v>
      </c>
      <c r="E16" s="19" t="s">
        <v>126</v>
      </c>
      <c r="F16">
        <v>294</v>
      </c>
      <c r="G16" s="2">
        <v>9.1639999999999997</v>
      </c>
      <c r="H16" s="4" t="s">
        <v>63</v>
      </c>
      <c r="I16" s="4" t="s">
        <v>61</v>
      </c>
      <c r="J16" s="19">
        <v>5</v>
      </c>
      <c r="K16" s="19">
        <v>7</v>
      </c>
      <c r="L16" s="8">
        <v>14.4</v>
      </c>
      <c r="M16" s="2">
        <v>7</v>
      </c>
      <c r="N16" s="2">
        <v>57</v>
      </c>
      <c r="O16" s="2">
        <f t="shared" si="0"/>
        <v>21.599999999999994</v>
      </c>
      <c r="P16" s="2">
        <f t="shared" si="1"/>
        <v>18.367346938775508</v>
      </c>
      <c r="Q16" s="2">
        <f t="shared" si="2"/>
        <v>8.928571428571427</v>
      </c>
      <c r="R16" s="2">
        <f t="shared" si="3"/>
        <v>72.704081632653057</v>
      </c>
      <c r="S16" s="22"/>
      <c r="T16" s="22"/>
      <c r="U16" s="22"/>
      <c r="V16" s="22"/>
      <c r="W16" s="22"/>
      <c r="X16" s="22"/>
      <c r="Y16" s="22"/>
      <c r="Z16" s="2"/>
      <c r="AA16" s="6"/>
      <c r="AB16" s="2"/>
      <c r="AC16" t="s">
        <v>85</v>
      </c>
      <c r="AD16" t="s">
        <v>85</v>
      </c>
    </row>
    <row r="17" spans="1:30" x14ac:dyDescent="0.35">
      <c r="A17" t="s">
        <v>4</v>
      </c>
      <c r="B17" s="19">
        <v>16</v>
      </c>
      <c r="C17" s="19" t="s">
        <v>127</v>
      </c>
      <c r="D17" s="19">
        <v>4</v>
      </c>
      <c r="E17" s="19" t="s">
        <v>127</v>
      </c>
      <c r="F17">
        <v>88</v>
      </c>
      <c r="G17" s="2">
        <v>6.7270000000000003</v>
      </c>
      <c r="H17" s="14" t="s">
        <v>66</v>
      </c>
      <c r="I17" s="4" t="s">
        <v>19</v>
      </c>
      <c r="J17" s="19">
        <v>1</v>
      </c>
      <c r="K17" s="19">
        <v>7</v>
      </c>
      <c r="L17" s="8">
        <v>14.4</v>
      </c>
      <c r="M17" s="2">
        <v>7</v>
      </c>
      <c r="N17" s="2">
        <v>57</v>
      </c>
      <c r="O17" s="2">
        <f t="shared" si="0"/>
        <v>21.599999999999994</v>
      </c>
      <c r="P17" s="2">
        <f t="shared" si="1"/>
        <v>18.367346938775508</v>
      </c>
      <c r="Q17" s="2">
        <f t="shared" si="2"/>
        <v>8.928571428571427</v>
      </c>
      <c r="R17" s="2">
        <f t="shared" si="3"/>
        <v>72.704081632653057</v>
      </c>
      <c r="S17" s="22">
        <v>0.88648234983327612</v>
      </c>
      <c r="T17" s="22">
        <v>0.22036651199774909</v>
      </c>
      <c r="U17" s="22">
        <v>2.0359376290112001</v>
      </c>
      <c r="V17" s="22">
        <v>0.38203006951439716</v>
      </c>
      <c r="W17" s="22">
        <v>4.0001644633251482E-2</v>
      </c>
      <c r="X17" s="22">
        <v>3.5648182049898742</v>
      </c>
      <c r="Y17" s="22">
        <v>43.250404530126659</v>
      </c>
      <c r="Z17" s="2"/>
      <c r="AA17" s="6"/>
      <c r="AB17" s="2"/>
      <c r="AC17" t="s">
        <v>85</v>
      </c>
      <c r="AD17" t="s">
        <v>85</v>
      </c>
    </row>
    <row r="18" spans="1:30" x14ac:dyDescent="0.35">
      <c r="A18" t="s">
        <v>4</v>
      </c>
      <c r="B18" s="19">
        <v>17</v>
      </c>
      <c r="C18" s="19" t="s">
        <v>127</v>
      </c>
      <c r="D18" s="19">
        <v>4</v>
      </c>
      <c r="E18" s="19" t="s">
        <v>127</v>
      </c>
      <c r="F18">
        <v>147</v>
      </c>
      <c r="G18" s="2">
        <v>8.8780000000000001</v>
      </c>
      <c r="H18" s="14" t="s">
        <v>66</v>
      </c>
      <c r="I18" s="4" t="s">
        <v>19</v>
      </c>
      <c r="J18" s="19">
        <v>2</v>
      </c>
      <c r="K18" s="19">
        <v>7</v>
      </c>
      <c r="L18" s="8">
        <v>14.4</v>
      </c>
      <c r="M18" s="2">
        <v>7</v>
      </c>
      <c r="N18" s="2">
        <v>57</v>
      </c>
      <c r="O18" s="2">
        <f t="shared" si="0"/>
        <v>21.599999999999994</v>
      </c>
      <c r="P18" s="2">
        <f t="shared" si="1"/>
        <v>18.367346938775508</v>
      </c>
      <c r="Q18" s="2">
        <f t="shared" si="2"/>
        <v>8.928571428571427</v>
      </c>
      <c r="R18" s="2">
        <f t="shared" si="3"/>
        <v>72.704081632653057</v>
      </c>
      <c r="S18" s="22">
        <v>0.62736959058159025</v>
      </c>
      <c r="T18" s="22">
        <v>0.12731661909569411</v>
      </c>
      <c r="U18" s="22">
        <v>1.8854972540951873</v>
      </c>
      <c r="V18" s="22">
        <v>0.33049903465297542</v>
      </c>
      <c r="W18" s="22">
        <v>0.11357878294760342</v>
      </c>
      <c r="X18" s="22">
        <v>3.0842612813730503</v>
      </c>
      <c r="Y18" s="22">
        <v>38.84777886972261</v>
      </c>
      <c r="Z18" s="2"/>
      <c r="AA18" s="6"/>
      <c r="AB18" s="2"/>
      <c r="AC18" t="s">
        <v>85</v>
      </c>
      <c r="AD18" t="s">
        <v>85</v>
      </c>
    </row>
    <row r="19" spans="1:30" x14ac:dyDescent="0.35">
      <c r="A19" t="s">
        <v>4</v>
      </c>
      <c r="B19" s="19">
        <v>18</v>
      </c>
      <c r="C19" s="19" t="s">
        <v>127</v>
      </c>
      <c r="D19" s="19">
        <v>4</v>
      </c>
      <c r="E19" s="19" t="s">
        <v>127</v>
      </c>
      <c r="F19">
        <v>58</v>
      </c>
      <c r="G19" s="2">
        <v>4.5739999999999998</v>
      </c>
      <c r="H19" s="14" t="s">
        <v>66</v>
      </c>
      <c r="I19" s="4" t="s">
        <v>19</v>
      </c>
      <c r="J19" s="19">
        <v>3</v>
      </c>
      <c r="K19" s="19">
        <v>7</v>
      </c>
      <c r="L19" s="8">
        <v>14.4</v>
      </c>
      <c r="M19" s="2">
        <v>7</v>
      </c>
      <c r="N19" s="2">
        <v>57</v>
      </c>
      <c r="O19" s="2">
        <f t="shared" si="0"/>
        <v>21.599999999999994</v>
      </c>
      <c r="P19" s="2">
        <f t="shared" si="1"/>
        <v>18.367346938775508</v>
      </c>
      <c r="Q19" s="2">
        <f t="shared" si="2"/>
        <v>8.928571428571427</v>
      </c>
      <c r="R19" s="2">
        <f t="shared" si="3"/>
        <v>72.704081632653057</v>
      </c>
      <c r="S19" s="22">
        <v>0.83778884741507653</v>
      </c>
      <c r="T19" s="22">
        <v>0.14575014510610779</v>
      </c>
      <c r="U19" s="22">
        <v>2.1664591126618076</v>
      </c>
      <c r="V19" s="22">
        <v>0.44072881229966215</v>
      </c>
      <c r="W19" s="22">
        <v>3.3723262533958021E-2</v>
      </c>
      <c r="X19" s="22">
        <v>3.6244501800166122</v>
      </c>
      <c r="Y19" s="22">
        <v>47.351037662345291</v>
      </c>
      <c r="Z19" s="2"/>
      <c r="AA19" s="6"/>
      <c r="AB19" s="2"/>
      <c r="AC19" t="s">
        <v>85</v>
      </c>
      <c r="AD19" t="s">
        <v>85</v>
      </c>
    </row>
    <row r="20" spans="1:30" x14ac:dyDescent="0.35">
      <c r="A20" t="s">
        <v>4</v>
      </c>
      <c r="B20" s="19">
        <v>19</v>
      </c>
      <c r="C20" s="19" t="s">
        <v>127</v>
      </c>
      <c r="D20" s="19">
        <v>4</v>
      </c>
      <c r="E20" s="19" t="s">
        <v>127</v>
      </c>
      <c r="F20">
        <v>76</v>
      </c>
      <c r="G20" s="2">
        <v>4.1040000000000001</v>
      </c>
      <c r="H20" s="14" t="s">
        <v>66</v>
      </c>
      <c r="I20" s="4" t="s">
        <v>19</v>
      </c>
      <c r="J20" s="19">
        <v>4</v>
      </c>
      <c r="K20" s="19">
        <v>7</v>
      </c>
      <c r="L20" s="8">
        <v>14.4</v>
      </c>
      <c r="M20" s="2">
        <v>7</v>
      </c>
      <c r="N20" s="2">
        <v>57</v>
      </c>
      <c r="O20" s="2">
        <f t="shared" si="0"/>
        <v>21.599999999999994</v>
      </c>
      <c r="P20" s="2">
        <f t="shared" si="1"/>
        <v>18.367346938775508</v>
      </c>
      <c r="Q20" s="2">
        <f t="shared" si="2"/>
        <v>8.928571428571427</v>
      </c>
      <c r="R20" s="2">
        <f t="shared" si="3"/>
        <v>72.704081632653057</v>
      </c>
      <c r="S20" s="22"/>
      <c r="T20" s="22"/>
      <c r="U20" s="22"/>
      <c r="V20" s="22"/>
      <c r="W20" s="22"/>
      <c r="X20" s="22"/>
      <c r="Y20" s="22"/>
      <c r="Z20" s="2"/>
      <c r="AA20" s="6"/>
      <c r="AB20" s="2"/>
      <c r="AC20" t="s">
        <v>85</v>
      </c>
      <c r="AD20" t="s">
        <v>85</v>
      </c>
    </row>
    <row r="21" spans="1:30" x14ac:dyDescent="0.35">
      <c r="A21" t="s">
        <v>4</v>
      </c>
      <c r="B21" s="19">
        <v>20</v>
      </c>
      <c r="C21" s="19" t="s">
        <v>127</v>
      </c>
      <c r="D21" s="19">
        <v>4</v>
      </c>
      <c r="E21" s="19" t="s">
        <v>127</v>
      </c>
      <c r="F21">
        <v>91</v>
      </c>
      <c r="G21" s="2">
        <v>8.5950000000000006</v>
      </c>
      <c r="H21" s="14" t="s">
        <v>66</v>
      </c>
      <c r="I21" s="4" t="s">
        <v>19</v>
      </c>
      <c r="J21" s="19">
        <v>5</v>
      </c>
      <c r="K21" s="19">
        <v>7</v>
      </c>
      <c r="L21" s="8">
        <v>14.4</v>
      </c>
      <c r="M21" s="2">
        <v>7</v>
      </c>
      <c r="N21" s="2">
        <v>57</v>
      </c>
      <c r="O21" s="2">
        <f t="shared" si="0"/>
        <v>21.599999999999994</v>
      </c>
      <c r="P21" s="2">
        <f t="shared" si="1"/>
        <v>18.367346938775508</v>
      </c>
      <c r="Q21" s="2">
        <f t="shared" si="2"/>
        <v>8.928571428571427</v>
      </c>
      <c r="R21" s="2">
        <f t="shared" si="3"/>
        <v>72.704081632653057</v>
      </c>
      <c r="S21" s="22"/>
      <c r="T21" s="22"/>
      <c r="U21" s="22"/>
      <c r="V21" s="22"/>
      <c r="W21" s="22"/>
      <c r="X21" s="22"/>
      <c r="Y21" s="22"/>
      <c r="Z21" s="2"/>
      <c r="AA21" s="6"/>
      <c r="AB21" s="2"/>
      <c r="AC21" t="s">
        <v>85</v>
      </c>
      <c r="AD21" t="s">
        <v>85</v>
      </c>
    </row>
    <row r="22" spans="1:30" x14ac:dyDescent="0.35">
      <c r="A22" t="s">
        <v>4</v>
      </c>
      <c r="B22" s="19">
        <v>21</v>
      </c>
      <c r="C22" s="19" t="s">
        <v>128</v>
      </c>
      <c r="D22" s="19">
        <v>5</v>
      </c>
      <c r="E22" s="19"/>
      <c r="F22">
        <v>137</v>
      </c>
      <c r="G22" s="6">
        <v>3.5369999999999999</v>
      </c>
      <c r="H22" s="4" t="s">
        <v>67</v>
      </c>
      <c r="I22" s="4" t="s">
        <v>68</v>
      </c>
      <c r="J22" s="19">
        <v>1</v>
      </c>
      <c r="K22" s="19">
        <v>6</v>
      </c>
      <c r="L22" s="8">
        <v>14.4</v>
      </c>
      <c r="M22" s="2">
        <v>7</v>
      </c>
      <c r="N22" s="2">
        <v>57</v>
      </c>
      <c r="O22" s="2">
        <f t="shared" si="0"/>
        <v>21.599999999999994</v>
      </c>
      <c r="P22" s="2">
        <f t="shared" si="1"/>
        <v>18.367346938775508</v>
      </c>
      <c r="Q22" s="2">
        <f t="shared" si="2"/>
        <v>8.928571428571427</v>
      </c>
      <c r="R22" s="2">
        <f t="shared" si="3"/>
        <v>72.704081632653057</v>
      </c>
      <c r="S22" s="22"/>
      <c r="T22" s="22"/>
      <c r="U22" s="22"/>
      <c r="V22" s="22"/>
      <c r="W22" s="22"/>
      <c r="X22" s="22"/>
      <c r="Y22" s="22"/>
      <c r="Z22" s="2"/>
      <c r="AA22" s="6"/>
      <c r="AB22" s="2"/>
      <c r="AC22" t="s">
        <v>87</v>
      </c>
      <c r="AD22" t="s">
        <v>87</v>
      </c>
    </row>
    <row r="23" spans="1:30" x14ac:dyDescent="0.35">
      <c r="A23" t="s">
        <v>4</v>
      </c>
      <c r="B23" s="19">
        <v>22</v>
      </c>
      <c r="C23" s="19" t="s">
        <v>128</v>
      </c>
      <c r="D23" s="19">
        <v>5</v>
      </c>
      <c r="E23" s="19"/>
      <c r="F23">
        <v>250</v>
      </c>
      <c r="G23" s="6">
        <v>3.63</v>
      </c>
      <c r="H23" s="4" t="s">
        <v>67</v>
      </c>
      <c r="I23" s="4" t="s">
        <v>68</v>
      </c>
      <c r="J23" s="19">
        <v>2</v>
      </c>
      <c r="K23" s="19">
        <v>6</v>
      </c>
      <c r="L23" s="8">
        <v>14.4</v>
      </c>
      <c r="M23" s="2">
        <v>7</v>
      </c>
      <c r="N23" s="2">
        <v>57</v>
      </c>
      <c r="O23" s="2">
        <f t="shared" si="0"/>
        <v>21.599999999999994</v>
      </c>
      <c r="P23" s="2">
        <f t="shared" si="1"/>
        <v>18.367346938775508</v>
      </c>
      <c r="Q23" s="2">
        <f t="shared" si="2"/>
        <v>8.928571428571427</v>
      </c>
      <c r="R23" s="2">
        <f t="shared" si="3"/>
        <v>72.704081632653057</v>
      </c>
      <c r="S23" s="22"/>
      <c r="T23" s="22"/>
      <c r="U23" s="22"/>
      <c r="V23" s="22"/>
      <c r="W23" s="22"/>
      <c r="X23" s="22"/>
      <c r="Y23" s="22"/>
      <c r="Z23" s="2"/>
      <c r="AA23" s="6"/>
      <c r="AB23" s="2"/>
      <c r="AC23" t="s">
        <v>87</v>
      </c>
      <c r="AD23" t="s">
        <v>87</v>
      </c>
    </row>
    <row r="24" spans="1:30" x14ac:dyDescent="0.35">
      <c r="A24" t="s">
        <v>4</v>
      </c>
      <c r="B24" s="19">
        <v>23</v>
      </c>
      <c r="C24" s="19" t="s">
        <v>128</v>
      </c>
      <c r="D24" s="19">
        <v>5</v>
      </c>
      <c r="E24" s="19"/>
      <c r="F24">
        <v>206</v>
      </c>
      <c r="G24" s="6">
        <v>5.8</v>
      </c>
      <c r="H24" s="4" t="s">
        <v>67</v>
      </c>
      <c r="I24" s="4" t="s">
        <v>68</v>
      </c>
      <c r="J24" s="19">
        <v>3</v>
      </c>
      <c r="K24" s="19">
        <v>6</v>
      </c>
      <c r="L24" s="8">
        <v>14.4</v>
      </c>
      <c r="M24" s="2">
        <v>7</v>
      </c>
      <c r="N24" s="2">
        <v>57</v>
      </c>
      <c r="O24" s="2">
        <f t="shared" si="0"/>
        <v>21.599999999999994</v>
      </c>
      <c r="P24" s="2">
        <f t="shared" si="1"/>
        <v>18.367346938775508</v>
      </c>
      <c r="Q24" s="2">
        <f t="shared" si="2"/>
        <v>8.928571428571427</v>
      </c>
      <c r="R24" s="2">
        <f t="shared" si="3"/>
        <v>72.704081632653057</v>
      </c>
      <c r="S24" s="22"/>
      <c r="T24" s="22"/>
      <c r="U24" s="22"/>
      <c r="V24" s="22"/>
      <c r="W24" s="22"/>
      <c r="X24" s="22"/>
      <c r="Y24" s="22"/>
      <c r="Z24" s="2"/>
      <c r="AA24" s="6"/>
      <c r="AB24" s="2"/>
      <c r="AC24" t="s">
        <v>87</v>
      </c>
      <c r="AD24" t="s">
        <v>87</v>
      </c>
    </row>
    <row r="25" spans="1:30" x14ac:dyDescent="0.35">
      <c r="A25" t="s">
        <v>4</v>
      </c>
      <c r="B25" s="19">
        <v>24</v>
      </c>
      <c r="C25" s="19" t="s">
        <v>128</v>
      </c>
      <c r="D25" s="19">
        <v>5</v>
      </c>
      <c r="E25" s="19"/>
      <c r="F25">
        <v>118</v>
      </c>
      <c r="G25" s="6">
        <v>2.6469999999999998</v>
      </c>
      <c r="H25" s="4" t="s">
        <v>67</v>
      </c>
      <c r="I25" s="4" t="s">
        <v>68</v>
      </c>
      <c r="J25" s="19">
        <v>4</v>
      </c>
      <c r="K25" s="19">
        <v>6</v>
      </c>
      <c r="L25" s="8">
        <v>14.4</v>
      </c>
      <c r="M25" s="2">
        <v>7</v>
      </c>
      <c r="N25" s="2">
        <v>57</v>
      </c>
      <c r="O25" s="2">
        <f t="shared" si="0"/>
        <v>21.599999999999994</v>
      </c>
      <c r="P25" s="2">
        <f t="shared" si="1"/>
        <v>18.367346938775508</v>
      </c>
      <c r="Q25" s="2">
        <f t="shared" si="2"/>
        <v>8.928571428571427</v>
      </c>
      <c r="R25" s="2">
        <f t="shared" si="3"/>
        <v>72.704081632653057</v>
      </c>
      <c r="S25" s="22"/>
      <c r="T25" s="22"/>
      <c r="U25" s="22"/>
      <c r="V25" s="22"/>
      <c r="W25" s="22"/>
      <c r="X25" s="22"/>
      <c r="Y25" s="22"/>
      <c r="Z25" s="2"/>
      <c r="AA25" s="6"/>
      <c r="AB25" s="2"/>
      <c r="AC25" t="s">
        <v>87</v>
      </c>
      <c r="AD25" t="s">
        <v>87</v>
      </c>
    </row>
    <row r="26" spans="1:30" x14ac:dyDescent="0.35">
      <c r="A26" t="s">
        <v>4</v>
      </c>
      <c r="B26" s="19">
        <v>25</v>
      </c>
      <c r="C26" s="19" t="s">
        <v>128</v>
      </c>
      <c r="D26" s="19">
        <v>5</v>
      </c>
      <c r="E26" s="19"/>
      <c r="F26">
        <v>90</v>
      </c>
      <c r="G26" s="6">
        <v>5.5359999999999996</v>
      </c>
      <c r="H26" s="4" t="s">
        <v>67</v>
      </c>
      <c r="I26" s="4" t="s">
        <v>68</v>
      </c>
      <c r="J26" s="19">
        <v>5</v>
      </c>
      <c r="K26" s="19">
        <v>6</v>
      </c>
      <c r="L26" s="8">
        <v>14.4</v>
      </c>
      <c r="M26" s="2">
        <v>7</v>
      </c>
      <c r="N26" s="2">
        <v>57</v>
      </c>
      <c r="O26" s="2">
        <f t="shared" si="0"/>
        <v>21.599999999999994</v>
      </c>
      <c r="P26" s="2">
        <f t="shared" si="1"/>
        <v>18.367346938775508</v>
      </c>
      <c r="Q26" s="2">
        <f t="shared" si="2"/>
        <v>8.928571428571427</v>
      </c>
      <c r="R26" s="2">
        <f t="shared" si="3"/>
        <v>72.704081632653057</v>
      </c>
      <c r="S26" s="22"/>
      <c r="T26" s="22"/>
      <c r="U26" s="22"/>
      <c r="V26" s="22"/>
      <c r="W26" s="22"/>
      <c r="X26" s="22"/>
      <c r="Y26" s="22"/>
      <c r="Z26" s="2"/>
      <c r="AA26" s="6"/>
      <c r="AB26" s="2"/>
      <c r="AC26" t="s">
        <v>87</v>
      </c>
      <c r="AD26" t="s">
        <v>87</v>
      </c>
    </row>
    <row r="27" spans="1:30" x14ac:dyDescent="0.35">
      <c r="A27" t="s">
        <v>4</v>
      </c>
      <c r="B27" s="19">
        <v>26</v>
      </c>
      <c r="C27" s="19" t="s">
        <v>129</v>
      </c>
      <c r="D27" s="19">
        <v>6</v>
      </c>
      <c r="E27" s="19" t="s">
        <v>128</v>
      </c>
      <c r="F27">
        <v>385</v>
      </c>
      <c r="G27" s="6">
        <v>10.904</v>
      </c>
      <c r="H27" s="4" t="s">
        <v>63</v>
      </c>
      <c r="I27" s="4" t="s">
        <v>61</v>
      </c>
      <c r="J27" s="19" t="s">
        <v>91</v>
      </c>
      <c r="K27" s="19">
        <v>6</v>
      </c>
      <c r="L27" s="8">
        <v>14.4</v>
      </c>
      <c r="M27" s="2">
        <v>7</v>
      </c>
      <c r="N27" s="2">
        <v>57</v>
      </c>
      <c r="O27" s="2">
        <f t="shared" si="0"/>
        <v>21.599999999999994</v>
      </c>
      <c r="P27" s="2">
        <f t="shared" si="1"/>
        <v>18.367346938775508</v>
      </c>
      <c r="Q27" s="2">
        <f t="shared" si="2"/>
        <v>8.928571428571427</v>
      </c>
      <c r="R27" s="2">
        <f t="shared" si="3"/>
        <v>72.704081632653057</v>
      </c>
      <c r="S27" s="22"/>
      <c r="T27" s="22"/>
      <c r="U27" s="22"/>
      <c r="V27" s="22"/>
      <c r="W27" s="22"/>
      <c r="X27" s="22"/>
      <c r="Y27" s="22"/>
      <c r="Z27" s="2"/>
      <c r="AA27" s="6"/>
      <c r="AB27" s="2"/>
      <c r="AC27" t="s">
        <v>85</v>
      </c>
      <c r="AD27" t="s">
        <v>85</v>
      </c>
    </row>
    <row r="28" spans="1:30" x14ac:dyDescent="0.35">
      <c r="A28" t="s">
        <v>4</v>
      </c>
      <c r="B28" s="19">
        <v>27</v>
      </c>
      <c r="C28" s="19" t="s">
        <v>129</v>
      </c>
      <c r="D28" s="19">
        <v>6</v>
      </c>
      <c r="E28" s="19" t="s">
        <v>128</v>
      </c>
      <c r="F28">
        <v>394</v>
      </c>
      <c r="G28" s="6">
        <v>9.3450000000000006</v>
      </c>
      <c r="H28" s="4" t="s">
        <v>63</v>
      </c>
      <c r="I28" s="4" t="s">
        <v>61</v>
      </c>
      <c r="J28" s="19" t="s">
        <v>92</v>
      </c>
      <c r="K28" s="19">
        <v>6</v>
      </c>
      <c r="L28" s="8">
        <v>14.4</v>
      </c>
      <c r="M28" s="2">
        <v>7</v>
      </c>
      <c r="N28" s="2">
        <v>57</v>
      </c>
      <c r="O28" s="2">
        <f t="shared" si="0"/>
        <v>21.599999999999994</v>
      </c>
      <c r="P28" s="2">
        <f t="shared" si="1"/>
        <v>18.367346938775508</v>
      </c>
      <c r="Q28" s="2">
        <f t="shared" si="2"/>
        <v>8.928571428571427</v>
      </c>
      <c r="R28" s="2">
        <f t="shared" si="3"/>
        <v>72.704081632653057</v>
      </c>
      <c r="S28" s="22"/>
      <c r="T28" s="22"/>
      <c r="U28" s="22"/>
      <c r="V28" s="22"/>
      <c r="W28" s="22"/>
      <c r="X28" s="22"/>
      <c r="Y28" s="22"/>
      <c r="Z28" s="2"/>
      <c r="AA28" s="6"/>
      <c r="AB28" s="2"/>
      <c r="AC28" t="s">
        <v>85</v>
      </c>
      <c r="AD28" t="s">
        <v>85</v>
      </c>
    </row>
    <row r="29" spans="1:30" x14ac:dyDescent="0.35">
      <c r="A29" t="s">
        <v>4</v>
      </c>
      <c r="B29" s="19">
        <v>28</v>
      </c>
      <c r="C29" s="19" t="s">
        <v>129</v>
      </c>
      <c r="D29" s="19">
        <v>6</v>
      </c>
      <c r="E29" s="19" t="s">
        <v>128</v>
      </c>
      <c r="F29">
        <v>505</v>
      </c>
      <c r="G29" s="6">
        <v>12.837</v>
      </c>
      <c r="H29" s="4" t="s">
        <v>63</v>
      </c>
      <c r="I29" s="4" t="s">
        <v>61</v>
      </c>
      <c r="J29" s="19" t="s">
        <v>93</v>
      </c>
      <c r="K29" s="19">
        <v>6</v>
      </c>
      <c r="L29" s="8">
        <v>14.4</v>
      </c>
      <c r="M29" s="2">
        <v>7</v>
      </c>
      <c r="N29" s="2">
        <v>57</v>
      </c>
      <c r="O29" s="2">
        <f t="shared" si="0"/>
        <v>21.599999999999994</v>
      </c>
      <c r="P29" s="2">
        <f t="shared" si="1"/>
        <v>18.367346938775508</v>
      </c>
      <c r="Q29" s="2">
        <f t="shared" si="2"/>
        <v>8.928571428571427</v>
      </c>
      <c r="R29" s="2">
        <f t="shared" si="3"/>
        <v>72.704081632653057</v>
      </c>
      <c r="S29" s="22"/>
      <c r="T29" s="22"/>
      <c r="U29" s="22"/>
      <c r="V29" s="22"/>
      <c r="W29" s="22"/>
      <c r="X29" s="22"/>
      <c r="Y29" s="22"/>
      <c r="Z29" s="2"/>
      <c r="AA29" s="6"/>
      <c r="AB29" s="2"/>
      <c r="AC29" t="s">
        <v>85</v>
      </c>
      <c r="AD29" t="s">
        <v>85</v>
      </c>
    </row>
    <row r="30" spans="1:30" x14ac:dyDescent="0.35">
      <c r="A30" t="s">
        <v>4</v>
      </c>
      <c r="B30" s="19">
        <v>29</v>
      </c>
      <c r="C30" s="19" t="s">
        <v>129</v>
      </c>
      <c r="D30" s="19">
        <v>6</v>
      </c>
      <c r="E30" s="19" t="s">
        <v>128</v>
      </c>
      <c r="F30">
        <v>563</v>
      </c>
      <c r="G30" s="6">
        <v>14.92</v>
      </c>
      <c r="H30" s="4" t="s">
        <v>63</v>
      </c>
      <c r="I30" s="4" t="s">
        <v>61</v>
      </c>
      <c r="J30" s="19" t="s">
        <v>94</v>
      </c>
      <c r="K30" s="19">
        <v>6</v>
      </c>
      <c r="L30" s="8">
        <v>14.4</v>
      </c>
      <c r="M30" s="2">
        <v>7</v>
      </c>
      <c r="N30" s="2">
        <v>57</v>
      </c>
      <c r="O30" s="2">
        <f t="shared" si="0"/>
        <v>21.599999999999994</v>
      </c>
      <c r="P30" s="2">
        <f t="shared" si="1"/>
        <v>18.367346938775508</v>
      </c>
      <c r="Q30" s="2">
        <f t="shared" si="2"/>
        <v>8.928571428571427</v>
      </c>
      <c r="R30" s="2">
        <f t="shared" si="3"/>
        <v>72.704081632653057</v>
      </c>
      <c r="S30" s="22"/>
      <c r="T30" s="22"/>
      <c r="U30" s="22"/>
      <c r="V30" s="22"/>
      <c r="W30" s="22"/>
      <c r="X30" s="22"/>
      <c r="Y30" s="22"/>
      <c r="Z30" s="2"/>
      <c r="AA30" s="6"/>
      <c r="AB30" s="2"/>
      <c r="AC30" t="s">
        <v>85</v>
      </c>
      <c r="AD30" t="s">
        <v>85</v>
      </c>
    </row>
    <row r="31" spans="1:30" x14ac:dyDescent="0.35">
      <c r="A31" t="s">
        <v>4</v>
      </c>
      <c r="B31" s="19">
        <v>30</v>
      </c>
      <c r="C31" s="19" t="s">
        <v>129</v>
      </c>
      <c r="D31" s="19">
        <v>6</v>
      </c>
      <c r="E31" s="19" t="s">
        <v>128</v>
      </c>
      <c r="F31">
        <v>521</v>
      </c>
      <c r="G31" s="6">
        <v>7.7729999999999997</v>
      </c>
      <c r="H31" s="4" t="s">
        <v>63</v>
      </c>
      <c r="I31" s="4" t="s">
        <v>61</v>
      </c>
      <c r="J31" s="19" t="s">
        <v>95</v>
      </c>
      <c r="K31" s="19">
        <v>6</v>
      </c>
      <c r="L31" s="8">
        <v>14.4</v>
      </c>
      <c r="M31" s="2">
        <v>7</v>
      </c>
      <c r="N31" s="2">
        <v>57</v>
      </c>
      <c r="O31" s="2">
        <f t="shared" si="0"/>
        <v>21.599999999999994</v>
      </c>
      <c r="P31" s="2">
        <f t="shared" si="1"/>
        <v>18.367346938775508</v>
      </c>
      <c r="Q31" s="2">
        <f t="shared" si="2"/>
        <v>8.928571428571427</v>
      </c>
      <c r="R31" s="2">
        <f t="shared" si="3"/>
        <v>72.704081632653057</v>
      </c>
      <c r="S31" s="22"/>
      <c r="T31" s="22"/>
      <c r="U31" s="22"/>
      <c r="V31" s="22"/>
      <c r="W31" s="22"/>
      <c r="X31" s="22"/>
      <c r="Y31" s="22"/>
      <c r="Z31" s="2"/>
      <c r="AA31" s="6"/>
      <c r="AB31" s="2"/>
      <c r="AC31" t="s">
        <v>85</v>
      </c>
      <c r="AD31" t="s">
        <v>85</v>
      </c>
    </row>
    <row r="32" spans="1:30" x14ac:dyDescent="0.35">
      <c r="A32" t="s">
        <v>4</v>
      </c>
      <c r="B32" s="19">
        <v>31</v>
      </c>
      <c r="C32" s="19" t="s">
        <v>129</v>
      </c>
      <c r="D32" s="19">
        <v>6</v>
      </c>
      <c r="E32" s="19" t="s">
        <v>128</v>
      </c>
      <c r="F32">
        <v>423</v>
      </c>
      <c r="G32" s="6">
        <v>10.803000000000001</v>
      </c>
      <c r="H32" s="4" t="s">
        <v>63</v>
      </c>
      <c r="I32" s="4" t="s">
        <v>61</v>
      </c>
      <c r="J32" s="19" t="s">
        <v>96</v>
      </c>
      <c r="K32" s="19">
        <v>6</v>
      </c>
      <c r="L32" s="8">
        <v>14.4</v>
      </c>
      <c r="M32" s="2">
        <v>7</v>
      </c>
      <c r="N32" s="2">
        <v>57</v>
      </c>
      <c r="O32" s="2">
        <f t="shared" si="0"/>
        <v>21.599999999999994</v>
      </c>
      <c r="P32" s="2">
        <f t="shared" si="1"/>
        <v>18.367346938775508</v>
      </c>
      <c r="Q32" s="2">
        <f t="shared" si="2"/>
        <v>8.928571428571427</v>
      </c>
      <c r="R32" s="2">
        <f t="shared" si="3"/>
        <v>72.704081632653057</v>
      </c>
      <c r="S32" s="22"/>
      <c r="T32" s="22"/>
      <c r="U32" s="22"/>
      <c r="V32" s="22"/>
      <c r="W32" s="22"/>
      <c r="X32" s="22"/>
      <c r="Y32" s="22"/>
      <c r="Z32" s="2"/>
      <c r="AA32" s="6"/>
      <c r="AB32" s="2"/>
      <c r="AC32" t="s">
        <v>85</v>
      </c>
      <c r="AD32" t="s">
        <v>85</v>
      </c>
    </row>
    <row r="33" spans="1:31" x14ac:dyDescent="0.35">
      <c r="A33" t="s">
        <v>4</v>
      </c>
      <c r="B33" s="19">
        <v>32</v>
      </c>
      <c r="C33" s="19" t="s">
        <v>129</v>
      </c>
      <c r="D33" s="19">
        <v>6</v>
      </c>
      <c r="E33" s="19" t="s">
        <v>128</v>
      </c>
      <c r="F33">
        <v>352</v>
      </c>
      <c r="G33" s="6">
        <v>11.103</v>
      </c>
      <c r="H33" s="4" t="s">
        <v>63</v>
      </c>
      <c r="I33" s="4" t="s">
        <v>61</v>
      </c>
      <c r="J33" s="19" t="s">
        <v>97</v>
      </c>
      <c r="K33" s="19">
        <v>6</v>
      </c>
      <c r="L33" s="8">
        <v>14.4</v>
      </c>
      <c r="M33" s="2">
        <v>7</v>
      </c>
      <c r="N33" s="2">
        <v>57</v>
      </c>
      <c r="O33" s="2">
        <f t="shared" si="0"/>
        <v>21.599999999999994</v>
      </c>
      <c r="P33" s="2">
        <f t="shared" si="1"/>
        <v>18.367346938775508</v>
      </c>
      <c r="Q33" s="2">
        <f t="shared" si="2"/>
        <v>8.928571428571427</v>
      </c>
      <c r="R33" s="2">
        <f t="shared" si="3"/>
        <v>72.704081632653057</v>
      </c>
      <c r="S33" s="22"/>
      <c r="T33" s="22"/>
      <c r="U33" s="22"/>
      <c r="V33" s="22"/>
      <c r="W33" s="22"/>
      <c r="X33" s="22"/>
      <c r="Y33" s="22"/>
      <c r="Z33" s="2"/>
      <c r="AA33" s="6"/>
      <c r="AB33" s="2"/>
      <c r="AC33" t="s">
        <v>85</v>
      </c>
      <c r="AD33" t="s">
        <v>85</v>
      </c>
    </row>
    <row r="34" spans="1:31" x14ac:dyDescent="0.35">
      <c r="A34" t="s">
        <v>4</v>
      </c>
      <c r="B34" s="19">
        <v>33</v>
      </c>
      <c r="C34" s="19" t="s">
        <v>129</v>
      </c>
      <c r="D34" s="19">
        <v>6</v>
      </c>
      <c r="E34" s="19" t="s">
        <v>128</v>
      </c>
      <c r="F34">
        <v>497</v>
      </c>
      <c r="G34" s="6">
        <v>12.366</v>
      </c>
      <c r="H34" s="4" t="s">
        <v>63</v>
      </c>
      <c r="I34" s="4" t="s">
        <v>61</v>
      </c>
      <c r="J34" s="19" t="s">
        <v>98</v>
      </c>
      <c r="K34" s="19">
        <v>6</v>
      </c>
      <c r="L34" s="8">
        <v>14.4</v>
      </c>
      <c r="M34" s="2">
        <v>7</v>
      </c>
      <c r="N34" s="2">
        <v>57</v>
      </c>
      <c r="O34" s="2">
        <f t="shared" si="0"/>
        <v>21.599999999999994</v>
      </c>
      <c r="P34" s="2">
        <f t="shared" si="1"/>
        <v>18.367346938775508</v>
      </c>
      <c r="Q34" s="2">
        <f t="shared" si="2"/>
        <v>8.928571428571427</v>
      </c>
      <c r="R34" s="2">
        <f t="shared" si="3"/>
        <v>72.704081632653057</v>
      </c>
      <c r="S34" s="22"/>
      <c r="T34" s="22"/>
      <c r="U34" s="22"/>
      <c r="V34" s="22"/>
      <c r="W34" s="22"/>
      <c r="X34" s="22"/>
      <c r="Y34" s="22"/>
      <c r="Z34" s="2"/>
      <c r="AA34" s="6"/>
      <c r="AB34" s="2"/>
      <c r="AC34" t="s">
        <v>85</v>
      </c>
      <c r="AD34" t="s">
        <v>85</v>
      </c>
    </row>
    <row r="35" spans="1:31" x14ac:dyDescent="0.35">
      <c r="A35" t="s">
        <v>4</v>
      </c>
      <c r="B35" s="19">
        <v>34</v>
      </c>
      <c r="C35" s="19" t="s">
        <v>130</v>
      </c>
      <c r="D35" s="19">
        <v>7</v>
      </c>
      <c r="E35" s="19" t="s">
        <v>129</v>
      </c>
      <c r="F35">
        <v>370</v>
      </c>
      <c r="G35">
        <v>11.896000000000001</v>
      </c>
      <c r="H35" s="4" t="s">
        <v>63</v>
      </c>
      <c r="I35" s="4" t="s">
        <v>61</v>
      </c>
      <c r="J35" s="19">
        <v>1</v>
      </c>
      <c r="K35" s="19">
        <v>6</v>
      </c>
      <c r="L35" s="8">
        <v>14.4</v>
      </c>
      <c r="M35" s="2">
        <v>7</v>
      </c>
      <c r="N35" s="2">
        <v>57</v>
      </c>
      <c r="O35" s="2">
        <f t="shared" si="0"/>
        <v>21.599999999999994</v>
      </c>
      <c r="P35" s="2">
        <f t="shared" si="1"/>
        <v>18.367346938775508</v>
      </c>
      <c r="Q35" s="2">
        <f t="shared" si="2"/>
        <v>8.928571428571427</v>
      </c>
      <c r="R35" s="2">
        <f t="shared" si="3"/>
        <v>72.704081632653057</v>
      </c>
      <c r="S35" s="22"/>
      <c r="T35" s="22"/>
      <c r="U35" s="22"/>
      <c r="V35" s="22"/>
      <c r="W35" s="22"/>
      <c r="X35" s="22"/>
      <c r="Y35" s="22"/>
      <c r="Z35" s="2">
        <v>62.312500000000007</v>
      </c>
      <c r="AA35" s="6"/>
      <c r="AB35" s="2"/>
      <c r="AC35" t="s">
        <v>85</v>
      </c>
      <c r="AD35" t="s">
        <v>85</v>
      </c>
    </row>
    <row r="36" spans="1:31" x14ac:dyDescent="0.35">
      <c r="A36" t="s">
        <v>4</v>
      </c>
      <c r="B36" s="19">
        <v>35</v>
      </c>
      <c r="C36" s="19" t="s">
        <v>130</v>
      </c>
      <c r="D36" s="19">
        <v>7</v>
      </c>
      <c r="E36" s="19" t="s">
        <v>129</v>
      </c>
      <c r="F36">
        <v>426</v>
      </c>
      <c r="G36">
        <v>12.77</v>
      </c>
      <c r="H36" s="4" t="s">
        <v>63</v>
      </c>
      <c r="I36" s="4" t="s">
        <v>61</v>
      </c>
      <c r="J36" s="19">
        <v>2</v>
      </c>
      <c r="K36" s="19">
        <v>6</v>
      </c>
      <c r="L36" s="8">
        <v>14.4</v>
      </c>
      <c r="M36" s="2">
        <v>7</v>
      </c>
      <c r="N36" s="2">
        <v>57</v>
      </c>
      <c r="O36" s="2">
        <f t="shared" si="0"/>
        <v>21.599999999999994</v>
      </c>
      <c r="P36" s="2">
        <f t="shared" si="1"/>
        <v>18.367346938775508</v>
      </c>
      <c r="Q36" s="2">
        <f t="shared" si="2"/>
        <v>8.928571428571427</v>
      </c>
      <c r="R36" s="2">
        <f t="shared" si="3"/>
        <v>72.704081632653057</v>
      </c>
      <c r="S36" s="22"/>
      <c r="T36" s="22"/>
      <c r="U36" s="22"/>
      <c r="V36" s="22"/>
      <c r="W36" s="22"/>
      <c r="X36" s="22"/>
      <c r="Y36" s="22"/>
      <c r="Z36" s="2">
        <v>48.75</v>
      </c>
      <c r="AA36" s="6"/>
      <c r="AB36" s="2"/>
      <c r="AC36" t="s">
        <v>85</v>
      </c>
      <c r="AD36" t="s">
        <v>85</v>
      </c>
    </row>
    <row r="37" spans="1:31" x14ac:dyDescent="0.35">
      <c r="A37" t="s">
        <v>4</v>
      </c>
      <c r="B37" s="19">
        <v>36</v>
      </c>
      <c r="C37" s="19" t="s">
        <v>130</v>
      </c>
      <c r="D37" s="19">
        <v>7</v>
      </c>
      <c r="E37" s="19" t="s">
        <v>129</v>
      </c>
      <c r="F37">
        <v>221</v>
      </c>
      <c r="G37">
        <v>14.01</v>
      </c>
      <c r="H37" s="4" t="s">
        <v>63</v>
      </c>
      <c r="I37" s="4" t="s">
        <v>61</v>
      </c>
      <c r="J37" s="19">
        <v>3</v>
      </c>
      <c r="K37" s="19">
        <v>6</v>
      </c>
      <c r="L37" s="8">
        <v>14.4</v>
      </c>
      <c r="M37" s="2">
        <v>7</v>
      </c>
      <c r="N37" s="2">
        <v>57</v>
      </c>
      <c r="O37" s="2">
        <f t="shared" si="0"/>
        <v>21.599999999999994</v>
      </c>
      <c r="P37" s="2">
        <f t="shared" si="1"/>
        <v>18.367346938775508</v>
      </c>
      <c r="Q37" s="2">
        <f t="shared" si="2"/>
        <v>8.928571428571427</v>
      </c>
      <c r="R37" s="2">
        <f t="shared" si="3"/>
        <v>72.704081632653057</v>
      </c>
      <c r="S37" s="22"/>
      <c r="T37" s="22"/>
      <c r="U37" s="22"/>
      <c r="V37" s="22"/>
      <c r="W37" s="22"/>
      <c r="X37" s="22"/>
      <c r="Y37" s="22"/>
      <c r="Z37" s="2">
        <v>66.625</v>
      </c>
      <c r="AA37" s="6"/>
      <c r="AB37" s="2"/>
      <c r="AC37" t="s">
        <v>85</v>
      </c>
      <c r="AD37" t="s">
        <v>85</v>
      </c>
    </row>
    <row r="38" spans="1:31" x14ac:dyDescent="0.35">
      <c r="A38" t="s">
        <v>4</v>
      </c>
      <c r="B38" s="19">
        <v>37</v>
      </c>
      <c r="C38" s="19" t="s">
        <v>130</v>
      </c>
      <c r="D38" s="19">
        <v>7</v>
      </c>
      <c r="E38" s="19" t="s">
        <v>129</v>
      </c>
      <c r="F38">
        <v>188</v>
      </c>
      <c r="G38">
        <v>9.6649999999999991</v>
      </c>
      <c r="H38" s="4" t="s">
        <v>63</v>
      </c>
      <c r="I38" s="4" t="s">
        <v>61</v>
      </c>
      <c r="J38" s="19">
        <v>4</v>
      </c>
      <c r="K38" s="19">
        <v>6</v>
      </c>
      <c r="L38" s="8">
        <v>14.4</v>
      </c>
      <c r="M38" s="2">
        <v>7</v>
      </c>
      <c r="N38" s="2">
        <v>57</v>
      </c>
      <c r="O38" s="2">
        <f t="shared" si="0"/>
        <v>21.599999999999994</v>
      </c>
      <c r="P38" s="2">
        <f t="shared" si="1"/>
        <v>18.367346938775508</v>
      </c>
      <c r="Q38" s="2">
        <f t="shared" si="2"/>
        <v>8.928571428571427</v>
      </c>
      <c r="R38" s="2">
        <f t="shared" si="3"/>
        <v>72.704081632653057</v>
      </c>
      <c r="S38" s="22"/>
      <c r="T38" s="22"/>
      <c r="U38" s="22"/>
      <c r="V38" s="22"/>
      <c r="W38" s="22"/>
      <c r="X38" s="22"/>
      <c r="Y38" s="22"/>
      <c r="Z38" s="2">
        <v>67.8125</v>
      </c>
      <c r="AA38" s="6"/>
      <c r="AB38" s="2"/>
      <c r="AC38" t="s">
        <v>85</v>
      </c>
      <c r="AD38" t="s">
        <v>85</v>
      </c>
    </row>
    <row r="39" spans="1:31" x14ac:dyDescent="0.35">
      <c r="A39" t="s">
        <v>4</v>
      </c>
      <c r="B39" s="19">
        <v>38</v>
      </c>
      <c r="C39" s="19" t="s">
        <v>130</v>
      </c>
      <c r="D39" s="19">
        <v>7</v>
      </c>
      <c r="E39" s="19" t="s">
        <v>129</v>
      </c>
      <c r="F39">
        <v>152</v>
      </c>
      <c r="G39">
        <v>7.6980000000000004</v>
      </c>
      <c r="H39" s="4" t="s">
        <v>63</v>
      </c>
      <c r="I39" s="4" t="s">
        <v>61</v>
      </c>
      <c r="J39" s="19">
        <v>5</v>
      </c>
      <c r="K39" s="19">
        <v>6</v>
      </c>
      <c r="L39" s="8">
        <v>14.4</v>
      </c>
      <c r="M39" s="2">
        <v>7</v>
      </c>
      <c r="N39" s="2">
        <v>57</v>
      </c>
      <c r="O39" s="2">
        <f t="shared" si="0"/>
        <v>21.599999999999994</v>
      </c>
      <c r="P39" s="2">
        <f t="shared" si="1"/>
        <v>18.367346938775508</v>
      </c>
      <c r="Q39" s="2">
        <f t="shared" si="2"/>
        <v>8.928571428571427</v>
      </c>
      <c r="R39" s="2">
        <f t="shared" si="3"/>
        <v>72.704081632653057</v>
      </c>
      <c r="S39" s="22"/>
      <c r="T39" s="22"/>
      <c r="U39" s="22"/>
      <c r="V39" s="22"/>
      <c r="W39" s="22"/>
      <c r="X39" s="22"/>
      <c r="Y39" s="22"/>
      <c r="Z39" s="2">
        <v>65.6875</v>
      </c>
      <c r="AA39" s="6"/>
      <c r="AB39" s="2"/>
      <c r="AC39" t="s">
        <v>85</v>
      </c>
      <c r="AD39" t="s">
        <v>85</v>
      </c>
    </row>
    <row r="40" spans="1:31" x14ac:dyDescent="0.35">
      <c r="A40" t="s">
        <v>4</v>
      </c>
      <c r="B40" s="19">
        <v>39</v>
      </c>
      <c r="C40" s="19" t="s">
        <v>130</v>
      </c>
      <c r="D40" s="19">
        <v>7</v>
      </c>
      <c r="E40" s="19" t="s">
        <v>129</v>
      </c>
      <c r="F40">
        <v>190</v>
      </c>
      <c r="G40">
        <v>4.1859999999999999</v>
      </c>
      <c r="H40" s="4" t="s">
        <v>63</v>
      </c>
      <c r="I40" s="4" t="s">
        <v>61</v>
      </c>
      <c r="J40" s="19">
        <v>6</v>
      </c>
      <c r="K40" s="19">
        <v>6</v>
      </c>
      <c r="L40" s="8">
        <v>14.4</v>
      </c>
      <c r="M40" s="2">
        <v>7</v>
      </c>
      <c r="N40" s="2">
        <v>57</v>
      </c>
      <c r="O40" s="2">
        <f t="shared" si="0"/>
        <v>21.599999999999994</v>
      </c>
      <c r="P40" s="2">
        <f t="shared" si="1"/>
        <v>18.367346938775508</v>
      </c>
      <c r="Q40" s="2">
        <f t="shared" si="2"/>
        <v>8.928571428571427</v>
      </c>
      <c r="R40" s="2">
        <f t="shared" si="3"/>
        <v>72.704081632653057</v>
      </c>
      <c r="S40" s="22"/>
      <c r="T40" s="22"/>
      <c r="U40" s="22"/>
      <c r="V40" s="22"/>
      <c r="W40" s="22"/>
      <c r="X40" s="22"/>
      <c r="Y40" s="22"/>
      <c r="Z40" s="2">
        <v>70.374999999999986</v>
      </c>
      <c r="AA40" s="6"/>
      <c r="AB40" s="2"/>
      <c r="AC40" t="s">
        <v>85</v>
      </c>
      <c r="AD40" t="s">
        <v>85</v>
      </c>
    </row>
    <row r="41" spans="1:31" x14ac:dyDescent="0.35">
      <c r="A41" t="s">
        <v>4</v>
      </c>
      <c r="B41" s="19">
        <v>40</v>
      </c>
      <c r="C41" s="19" t="s">
        <v>130</v>
      </c>
      <c r="D41" s="19">
        <v>7</v>
      </c>
      <c r="E41" s="19" t="s">
        <v>129</v>
      </c>
      <c r="F41">
        <v>149</v>
      </c>
      <c r="G41">
        <v>5.774</v>
      </c>
      <c r="H41" s="4" t="s">
        <v>63</v>
      </c>
      <c r="I41" s="4" t="s">
        <v>61</v>
      </c>
      <c r="J41" s="19">
        <v>7</v>
      </c>
      <c r="K41" s="19">
        <v>6</v>
      </c>
      <c r="L41" s="8">
        <v>14.4</v>
      </c>
      <c r="M41" s="2">
        <v>7</v>
      </c>
      <c r="N41" s="2">
        <v>57</v>
      </c>
      <c r="O41" s="2">
        <f t="shared" si="0"/>
        <v>21.599999999999994</v>
      </c>
      <c r="P41" s="2">
        <f t="shared" si="1"/>
        <v>18.367346938775508</v>
      </c>
      <c r="Q41" s="2">
        <f t="shared" si="2"/>
        <v>8.928571428571427</v>
      </c>
      <c r="R41" s="2">
        <f t="shared" si="3"/>
        <v>72.704081632653057</v>
      </c>
      <c r="S41" s="22"/>
      <c r="T41" s="22"/>
      <c r="U41" s="22"/>
      <c r="V41" s="22"/>
      <c r="W41" s="22"/>
      <c r="X41" s="22"/>
      <c r="Y41" s="22"/>
      <c r="Z41" s="2">
        <v>64.375</v>
      </c>
      <c r="AA41" s="6"/>
      <c r="AB41" s="2"/>
      <c r="AC41" t="s">
        <v>85</v>
      </c>
      <c r="AD41" t="s">
        <v>85</v>
      </c>
    </row>
    <row r="42" spans="1:31" x14ac:dyDescent="0.35">
      <c r="A42" t="s">
        <v>4</v>
      </c>
      <c r="B42" s="19">
        <v>41</v>
      </c>
      <c r="C42" s="19" t="s">
        <v>130</v>
      </c>
      <c r="D42" s="19">
        <v>7</v>
      </c>
      <c r="E42" s="19" t="s">
        <v>129</v>
      </c>
      <c r="F42">
        <v>155</v>
      </c>
      <c r="G42">
        <v>9.8079999999999998</v>
      </c>
      <c r="H42" s="4" t="s">
        <v>63</v>
      </c>
      <c r="I42" s="4" t="s">
        <v>61</v>
      </c>
      <c r="J42" s="19">
        <v>8</v>
      </c>
      <c r="K42" s="19">
        <v>6</v>
      </c>
      <c r="L42" s="8">
        <v>14.4</v>
      </c>
      <c r="M42" s="2">
        <v>7</v>
      </c>
      <c r="N42" s="2">
        <v>57</v>
      </c>
      <c r="O42" s="2">
        <f t="shared" si="0"/>
        <v>21.599999999999994</v>
      </c>
      <c r="P42" s="2">
        <f t="shared" si="1"/>
        <v>18.367346938775508</v>
      </c>
      <c r="Q42" s="2">
        <f t="shared" si="2"/>
        <v>8.928571428571427</v>
      </c>
      <c r="R42" s="2">
        <f t="shared" si="3"/>
        <v>72.704081632653057</v>
      </c>
      <c r="S42" s="22"/>
      <c r="T42" s="22"/>
      <c r="U42" s="22"/>
      <c r="V42" s="22"/>
      <c r="W42" s="22"/>
      <c r="X42" s="22"/>
      <c r="Y42" s="22"/>
      <c r="Z42" s="2">
        <v>54.75</v>
      </c>
      <c r="AA42" s="6"/>
      <c r="AB42" s="2"/>
      <c r="AC42" t="s">
        <v>85</v>
      </c>
      <c r="AD42" t="s">
        <v>85</v>
      </c>
    </row>
    <row r="43" spans="1:31" x14ac:dyDescent="0.35">
      <c r="A43" t="s">
        <v>8</v>
      </c>
      <c r="B43" s="19">
        <v>1</v>
      </c>
      <c r="C43" s="19" t="s">
        <v>125</v>
      </c>
      <c r="D43" s="19">
        <v>2</v>
      </c>
      <c r="E43" s="19" t="s">
        <v>125</v>
      </c>
      <c r="F43">
        <v>265</v>
      </c>
      <c r="G43" s="6">
        <v>4.9269999999999996</v>
      </c>
      <c r="H43" s="14" t="s">
        <v>62</v>
      </c>
      <c r="I43" s="4" t="s">
        <v>82</v>
      </c>
      <c r="J43" s="19">
        <v>1</v>
      </c>
      <c r="K43" s="19">
        <v>6</v>
      </c>
      <c r="L43" s="8">
        <v>5.3</v>
      </c>
      <c r="M43" s="2">
        <v>2.2999999999999998</v>
      </c>
      <c r="N43" s="2">
        <v>62</v>
      </c>
      <c r="O43" s="2">
        <f t="shared" si="0"/>
        <v>30.400000000000006</v>
      </c>
      <c r="P43" s="2">
        <f t="shared" si="1"/>
        <v>7.6149425287356323</v>
      </c>
      <c r="Q43" s="2">
        <f t="shared" si="2"/>
        <v>3.3045977011494254</v>
      </c>
      <c r="R43" s="2">
        <f t="shared" si="3"/>
        <v>89.080459770114956</v>
      </c>
      <c r="S43" s="22"/>
      <c r="T43" s="22"/>
      <c r="U43" s="22"/>
      <c r="V43" s="22"/>
      <c r="W43" s="22"/>
      <c r="X43" s="22"/>
      <c r="Y43" s="22"/>
      <c r="Z43" s="2"/>
      <c r="AA43" s="6"/>
      <c r="AB43" s="2"/>
      <c r="AC43" t="s">
        <v>85</v>
      </c>
      <c r="AD43" t="s">
        <v>85</v>
      </c>
      <c r="AE43" t="s">
        <v>85</v>
      </c>
    </row>
    <row r="44" spans="1:31" x14ac:dyDescent="0.35">
      <c r="A44" t="s">
        <v>8</v>
      </c>
      <c r="B44" s="19">
        <v>2</v>
      </c>
      <c r="C44" s="19" t="s">
        <v>125</v>
      </c>
      <c r="D44" s="19">
        <v>2</v>
      </c>
      <c r="E44" s="19" t="s">
        <v>125</v>
      </c>
      <c r="F44">
        <v>473</v>
      </c>
      <c r="G44" s="6">
        <v>5.8979999999999997</v>
      </c>
      <c r="H44" s="14" t="s">
        <v>62</v>
      </c>
      <c r="I44" s="4" t="s">
        <v>82</v>
      </c>
      <c r="J44" s="19">
        <v>2</v>
      </c>
      <c r="K44" s="19">
        <v>6</v>
      </c>
      <c r="L44" s="8">
        <v>5.3</v>
      </c>
      <c r="M44" s="2">
        <v>2.2999999999999998</v>
      </c>
      <c r="N44" s="2">
        <v>62</v>
      </c>
      <c r="O44" s="2">
        <f t="shared" si="0"/>
        <v>30.400000000000006</v>
      </c>
      <c r="P44" s="2">
        <f t="shared" si="1"/>
        <v>7.6149425287356323</v>
      </c>
      <c r="Q44" s="2">
        <f t="shared" si="2"/>
        <v>3.3045977011494254</v>
      </c>
      <c r="R44" s="2">
        <f t="shared" si="3"/>
        <v>89.080459770114956</v>
      </c>
      <c r="S44" s="22"/>
      <c r="T44" s="22"/>
      <c r="U44" s="22"/>
      <c r="V44" s="22"/>
      <c r="W44" s="22"/>
      <c r="X44" s="22"/>
      <c r="Y44" s="22"/>
      <c r="Z44" s="2"/>
      <c r="AA44" s="6"/>
      <c r="AB44" s="2"/>
      <c r="AC44" t="s">
        <v>85</v>
      </c>
      <c r="AD44" t="s">
        <v>85</v>
      </c>
      <c r="AE44" t="s">
        <v>85</v>
      </c>
    </row>
    <row r="45" spans="1:31" x14ac:dyDescent="0.35">
      <c r="A45" t="s">
        <v>8</v>
      </c>
      <c r="B45" s="19">
        <v>3</v>
      </c>
      <c r="C45" s="19" t="s">
        <v>125</v>
      </c>
      <c r="D45" s="19">
        <v>2</v>
      </c>
      <c r="E45" s="19" t="s">
        <v>125</v>
      </c>
      <c r="F45">
        <f>444+201</f>
        <v>645</v>
      </c>
      <c r="G45" s="6">
        <v>10.266</v>
      </c>
      <c r="H45" s="14" t="s">
        <v>62</v>
      </c>
      <c r="I45" s="4" t="s">
        <v>82</v>
      </c>
      <c r="J45" s="19">
        <v>3</v>
      </c>
      <c r="K45" s="19">
        <v>6</v>
      </c>
      <c r="L45" s="8">
        <v>5.3</v>
      </c>
      <c r="M45" s="2">
        <v>2.2999999999999998</v>
      </c>
      <c r="N45" s="2">
        <v>62</v>
      </c>
      <c r="O45" s="2">
        <f t="shared" si="0"/>
        <v>30.400000000000006</v>
      </c>
      <c r="P45" s="2">
        <f t="shared" si="1"/>
        <v>7.6149425287356323</v>
      </c>
      <c r="Q45" s="2">
        <f t="shared" si="2"/>
        <v>3.3045977011494254</v>
      </c>
      <c r="R45" s="2">
        <f t="shared" si="3"/>
        <v>89.080459770114956</v>
      </c>
      <c r="S45" s="22">
        <v>0.32412212073470192</v>
      </c>
      <c r="T45" s="22">
        <v>0.12520403679413022</v>
      </c>
      <c r="U45" s="22">
        <v>2.9707775863154455</v>
      </c>
      <c r="V45" s="22">
        <v>0.27494353487313683</v>
      </c>
      <c r="W45" s="22">
        <v>5.2380696959322334E-2</v>
      </c>
      <c r="X45" s="22">
        <v>3.7474279756767368</v>
      </c>
      <c r="Y45" s="22">
        <v>20.044330192699633</v>
      </c>
      <c r="Z45" s="2">
        <v>69.4375</v>
      </c>
      <c r="AA45" s="22">
        <v>2.9999999999999361E-2</v>
      </c>
      <c r="AB45" s="23">
        <v>1.8927444794952268</v>
      </c>
      <c r="AC45" t="s">
        <v>85</v>
      </c>
      <c r="AD45" t="s">
        <v>85</v>
      </c>
    </row>
    <row r="46" spans="1:31" x14ac:dyDescent="0.35">
      <c r="A46" t="s">
        <v>8</v>
      </c>
      <c r="B46" s="19">
        <v>4</v>
      </c>
      <c r="C46" s="19" t="s">
        <v>125</v>
      </c>
      <c r="D46" s="19">
        <v>2</v>
      </c>
      <c r="E46" s="19" t="s">
        <v>125</v>
      </c>
      <c r="F46">
        <f>258+235</f>
        <v>493</v>
      </c>
      <c r="G46" s="6">
        <v>10.122999999999999</v>
      </c>
      <c r="H46" s="14" t="s">
        <v>62</v>
      </c>
      <c r="I46" s="4" t="s">
        <v>82</v>
      </c>
      <c r="J46" s="19">
        <v>4</v>
      </c>
      <c r="K46" s="19">
        <v>6</v>
      </c>
      <c r="L46" s="8">
        <v>5.3</v>
      </c>
      <c r="M46" s="2">
        <v>2.2999999999999998</v>
      </c>
      <c r="N46" s="2">
        <v>62</v>
      </c>
      <c r="O46" s="2">
        <f t="shared" si="0"/>
        <v>30.400000000000006</v>
      </c>
      <c r="P46" s="2">
        <f t="shared" si="1"/>
        <v>7.6149425287356323</v>
      </c>
      <c r="Q46" s="2">
        <f t="shared" si="2"/>
        <v>3.3045977011494254</v>
      </c>
      <c r="R46" s="2">
        <f t="shared" si="3"/>
        <v>89.080459770114956</v>
      </c>
      <c r="S46" s="22">
        <v>0.43545703552111253</v>
      </c>
      <c r="T46" s="22">
        <v>0.15024073260062393</v>
      </c>
      <c r="U46" s="22">
        <v>3.2166801095163304</v>
      </c>
      <c r="V46" s="22">
        <v>0.30782723664720091</v>
      </c>
      <c r="W46" s="22">
        <v>6.1191602920591295E-2</v>
      </c>
      <c r="X46" s="22">
        <v>4.1713967172058597</v>
      </c>
      <c r="Y46" s="22">
        <v>24.880377492817296</v>
      </c>
      <c r="Z46" s="2">
        <v>69.125</v>
      </c>
      <c r="AA46" s="22">
        <v>0.13399999999999945</v>
      </c>
      <c r="AB46" s="23">
        <v>6.9646569646569345</v>
      </c>
      <c r="AC46" t="s">
        <v>85</v>
      </c>
      <c r="AD46" t="s">
        <v>85</v>
      </c>
    </row>
    <row r="47" spans="1:31" x14ac:dyDescent="0.35">
      <c r="A47" t="s">
        <v>8</v>
      </c>
      <c r="B47" s="19">
        <v>5</v>
      </c>
      <c r="C47" s="19" t="s">
        <v>125</v>
      </c>
      <c r="D47" s="19">
        <v>2</v>
      </c>
      <c r="E47" s="19" t="s">
        <v>125</v>
      </c>
      <c r="F47">
        <f>323+244</f>
        <v>567</v>
      </c>
      <c r="G47" s="6">
        <v>10.65</v>
      </c>
      <c r="H47" s="14" t="s">
        <v>62</v>
      </c>
      <c r="I47" s="4" t="s">
        <v>82</v>
      </c>
      <c r="J47" s="19">
        <v>5</v>
      </c>
      <c r="K47" s="19">
        <v>6</v>
      </c>
      <c r="L47" s="8">
        <v>5.3</v>
      </c>
      <c r="M47" s="2">
        <v>2.2999999999999998</v>
      </c>
      <c r="N47" s="2">
        <v>62</v>
      </c>
      <c r="O47" s="2">
        <f t="shared" si="0"/>
        <v>30.400000000000006</v>
      </c>
      <c r="P47" s="2">
        <f t="shared" si="1"/>
        <v>7.6149425287356323</v>
      </c>
      <c r="Q47" s="2">
        <f t="shared" si="2"/>
        <v>3.3045977011494254</v>
      </c>
      <c r="R47" s="2">
        <f t="shared" si="3"/>
        <v>89.080459770114956</v>
      </c>
      <c r="S47" s="22">
        <v>0.30470229214781536</v>
      </c>
      <c r="T47" s="22">
        <v>0.11139692936691867</v>
      </c>
      <c r="U47" s="22">
        <v>2.4275243375352393</v>
      </c>
      <c r="V47" s="22">
        <v>0.24731409316852357</v>
      </c>
      <c r="W47" s="22">
        <v>5.0022022119779866E-2</v>
      </c>
      <c r="X47" s="22">
        <v>3.1409596743382768</v>
      </c>
      <c r="Y47" s="22">
        <v>18.363753042024978</v>
      </c>
      <c r="Z47" s="2">
        <v>66.875</v>
      </c>
      <c r="AA47" s="22">
        <v>0.14700000000000024</v>
      </c>
      <c r="AB47" s="23">
        <v>7.7044025157232854</v>
      </c>
      <c r="AC47" t="s">
        <v>85</v>
      </c>
      <c r="AD47" t="s">
        <v>85</v>
      </c>
    </row>
    <row r="48" spans="1:31" x14ac:dyDescent="0.35">
      <c r="A48" t="s">
        <v>8</v>
      </c>
      <c r="B48" s="19">
        <v>6</v>
      </c>
      <c r="C48" s="19" t="s">
        <v>125</v>
      </c>
      <c r="D48" s="19">
        <v>2</v>
      </c>
      <c r="E48" s="19" t="s">
        <v>125</v>
      </c>
      <c r="F48">
        <v>322</v>
      </c>
      <c r="G48" s="6">
        <v>6.8310000000000004</v>
      </c>
      <c r="H48" s="14" t="s">
        <v>62</v>
      </c>
      <c r="I48" s="4" t="s">
        <v>82</v>
      </c>
      <c r="J48" s="19">
        <v>6</v>
      </c>
      <c r="K48" s="19">
        <v>6</v>
      </c>
      <c r="L48" s="8">
        <v>5.3</v>
      </c>
      <c r="M48" s="2">
        <v>2.2999999999999998</v>
      </c>
      <c r="N48" s="2">
        <v>62</v>
      </c>
      <c r="O48" s="2">
        <f t="shared" si="0"/>
        <v>30.400000000000006</v>
      </c>
      <c r="P48" s="2">
        <f t="shared" si="1"/>
        <v>7.6149425287356323</v>
      </c>
      <c r="Q48" s="2">
        <f t="shared" si="2"/>
        <v>3.3045977011494254</v>
      </c>
      <c r="R48" s="2">
        <f t="shared" si="3"/>
        <v>89.080459770114956</v>
      </c>
      <c r="S48" s="22">
        <v>0.65545504385659648</v>
      </c>
      <c r="T48" s="22">
        <v>0.11053236360334621</v>
      </c>
      <c r="U48" s="22">
        <v>3.6232282942728502</v>
      </c>
      <c r="V48" s="22">
        <v>0.25488087493961231</v>
      </c>
      <c r="W48" s="22">
        <v>2.4832318885038472E-2</v>
      </c>
      <c r="X48" s="22">
        <v>4.6689288955574435</v>
      </c>
      <c r="Y48" s="22">
        <v>49.205714029320347</v>
      </c>
      <c r="Z48" s="2">
        <v>61.124999999999993</v>
      </c>
      <c r="AA48" s="22">
        <v>0.10299999999999976</v>
      </c>
      <c r="AB48" s="23">
        <v>5.9883720930232451</v>
      </c>
      <c r="AC48" t="s">
        <v>85</v>
      </c>
      <c r="AD48" t="s">
        <v>85</v>
      </c>
    </row>
    <row r="49" spans="1:31" x14ac:dyDescent="0.35">
      <c r="A49" t="s">
        <v>8</v>
      </c>
      <c r="B49" s="19">
        <v>7</v>
      </c>
      <c r="C49" s="19" t="s">
        <v>125</v>
      </c>
      <c r="D49" s="19">
        <v>2</v>
      </c>
      <c r="E49" s="19" t="s">
        <v>125</v>
      </c>
      <c r="F49">
        <v>477</v>
      </c>
      <c r="G49" s="6">
        <v>8.6229999999999993</v>
      </c>
      <c r="H49" s="14" t="s">
        <v>62</v>
      </c>
      <c r="I49" s="4" t="s">
        <v>82</v>
      </c>
      <c r="J49" s="19">
        <v>7</v>
      </c>
      <c r="K49" s="19">
        <v>6</v>
      </c>
      <c r="L49" s="8">
        <v>5.3</v>
      </c>
      <c r="M49" s="2">
        <v>2.2999999999999998</v>
      </c>
      <c r="N49" s="2">
        <v>62</v>
      </c>
      <c r="O49" s="2">
        <f t="shared" si="0"/>
        <v>30.400000000000006</v>
      </c>
      <c r="P49" s="2">
        <f t="shared" si="1"/>
        <v>7.6149425287356323</v>
      </c>
      <c r="Q49" s="2">
        <f t="shared" si="2"/>
        <v>3.3045977011494254</v>
      </c>
      <c r="R49" s="2">
        <f t="shared" si="3"/>
        <v>89.080459770114956</v>
      </c>
      <c r="S49" s="22">
        <v>0.69289487760750545</v>
      </c>
      <c r="T49" s="22">
        <v>0.17033872154598467</v>
      </c>
      <c r="U49" s="22">
        <v>4.2539444001533386</v>
      </c>
      <c r="V49" s="22">
        <v>0.3401577010618948</v>
      </c>
      <c r="W49" s="22">
        <v>8.1466921056089409E-2</v>
      </c>
      <c r="X49" s="22">
        <v>5.5388026214248125</v>
      </c>
      <c r="Y49" s="22">
        <v>30.566234537501888</v>
      </c>
      <c r="Z49" s="2">
        <v>66.5</v>
      </c>
      <c r="AA49" s="22">
        <v>0.14200000000000124</v>
      </c>
      <c r="AB49" s="23">
        <v>6.6077245230340242</v>
      </c>
      <c r="AC49" t="s">
        <v>85</v>
      </c>
      <c r="AD49" t="s">
        <v>85</v>
      </c>
    </row>
    <row r="50" spans="1:31" x14ac:dyDescent="0.35">
      <c r="A50" t="s">
        <v>8</v>
      </c>
      <c r="B50" s="19">
        <v>8</v>
      </c>
      <c r="C50" s="19" t="s">
        <v>125</v>
      </c>
      <c r="D50" s="19">
        <v>2</v>
      </c>
      <c r="E50" s="19" t="s">
        <v>125</v>
      </c>
      <c r="F50">
        <v>311</v>
      </c>
      <c r="G50" s="6">
        <v>6.4950000000000001</v>
      </c>
      <c r="H50" s="14" t="s">
        <v>62</v>
      </c>
      <c r="I50" s="4" t="s">
        <v>82</v>
      </c>
      <c r="J50" s="19">
        <v>8</v>
      </c>
      <c r="K50" s="19">
        <v>6</v>
      </c>
      <c r="L50" s="8">
        <v>5.3</v>
      </c>
      <c r="M50" s="2">
        <v>2.2999999999999998</v>
      </c>
      <c r="N50" s="2">
        <v>62</v>
      </c>
      <c r="O50" s="2">
        <f t="shared" si="0"/>
        <v>30.400000000000006</v>
      </c>
      <c r="P50" s="2">
        <f t="shared" si="1"/>
        <v>7.6149425287356323</v>
      </c>
      <c r="Q50" s="2">
        <f t="shared" si="2"/>
        <v>3.3045977011494254</v>
      </c>
      <c r="R50" s="2">
        <f t="shared" si="3"/>
        <v>89.080459770114956</v>
      </c>
      <c r="S50" s="22"/>
      <c r="T50" s="22"/>
      <c r="U50" s="22"/>
      <c r="V50" s="22"/>
      <c r="W50" s="22"/>
      <c r="X50" s="22"/>
      <c r="Y50" s="22"/>
      <c r="Z50" s="2"/>
      <c r="AA50" s="6"/>
      <c r="AB50" s="2"/>
      <c r="AC50" t="s">
        <v>85</v>
      </c>
      <c r="AD50" t="s">
        <v>85</v>
      </c>
    </row>
    <row r="51" spans="1:31" x14ac:dyDescent="0.35">
      <c r="A51" t="s">
        <v>8</v>
      </c>
      <c r="B51" s="19">
        <v>9</v>
      </c>
      <c r="C51" s="19" t="s">
        <v>124</v>
      </c>
      <c r="D51" s="19">
        <v>1</v>
      </c>
      <c r="E51" s="19"/>
      <c r="F51">
        <v>133</v>
      </c>
      <c r="G51">
        <v>2.6760000000000002</v>
      </c>
      <c r="H51" s="14" t="s">
        <v>62</v>
      </c>
      <c r="I51" s="4" t="s">
        <v>82</v>
      </c>
      <c r="J51" s="19">
        <v>1</v>
      </c>
      <c r="K51" s="19">
        <v>6</v>
      </c>
      <c r="L51" s="8">
        <v>5.3</v>
      </c>
      <c r="M51" s="2">
        <v>2.2999999999999998</v>
      </c>
      <c r="N51" s="2">
        <v>62</v>
      </c>
      <c r="O51" s="2">
        <f t="shared" si="0"/>
        <v>30.400000000000006</v>
      </c>
      <c r="P51" s="2">
        <f t="shared" si="1"/>
        <v>7.6149425287356323</v>
      </c>
      <c r="Q51" s="2">
        <f t="shared" si="2"/>
        <v>3.3045977011494254</v>
      </c>
      <c r="R51" s="2">
        <f t="shared" si="3"/>
        <v>89.080459770114956</v>
      </c>
      <c r="S51" s="22"/>
      <c r="T51" s="22"/>
      <c r="U51" s="22"/>
      <c r="V51" s="22"/>
      <c r="W51" s="22"/>
      <c r="X51" s="22"/>
      <c r="Y51" s="22"/>
      <c r="Z51" s="2"/>
      <c r="AA51" s="6"/>
      <c r="AB51" s="2"/>
      <c r="AC51" t="s">
        <v>87</v>
      </c>
      <c r="AD51" t="s">
        <v>87</v>
      </c>
    </row>
    <row r="52" spans="1:31" x14ac:dyDescent="0.35">
      <c r="A52" t="s">
        <v>8</v>
      </c>
      <c r="B52" s="19">
        <v>10</v>
      </c>
      <c r="C52" s="19" t="s">
        <v>124</v>
      </c>
      <c r="D52" s="19">
        <v>1</v>
      </c>
      <c r="E52" s="19"/>
      <c r="F52">
        <v>182</v>
      </c>
      <c r="G52">
        <v>2.8029999999999999</v>
      </c>
      <c r="H52" s="14" t="s">
        <v>62</v>
      </c>
      <c r="I52" s="4" t="s">
        <v>82</v>
      </c>
      <c r="J52" s="19">
        <v>2</v>
      </c>
      <c r="K52" s="19">
        <v>6</v>
      </c>
      <c r="L52" s="8">
        <v>5.3</v>
      </c>
      <c r="M52" s="2">
        <v>2.2999999999999998</v>
      </c>
      <c r="N52" s="2">
        <v>62</v>
      </c>
      <c r="O52" s="2">
        <f t="shared" si="0"/>
        <v>30.400000000000006</v>
      </c>
      <c r="P52" s="2">
        <f t="shared" si="1"/>
        <v>7.6149425287356323</v>
      </c>
      <c r="Q52" s="2">
        <f t="shared" si="2"/>
        <v>3.3045977011494254</v>
      </c>
      <c r="R52" s="2">
        <f t="shared" si="3"/>
        <v>89.080459770114956</v>
      </c>
      <c r="S52" s="22"/>
      <c r="T52" s="22"/>
      <c r="U52" s="22"/>
      <c r="V52" s="22"/>
      <c r="W52" s="22"/>
      <c r="X52" s="22"/>
      <c r="Y52" s="22"/>
      <c r="Z52" s="2"/>
      <c r="AA52" s="6"/>
      <c r="AB52" s="2"/>
      <c r="AC52" t="s">
        <v>87</v>
      </c>
      <c r="AD52" t="s">
        <v>87</v>
      </c>
    </row>
    <row r="53" spans="1:31" x14ac:dyDescent="0.35">
      <c r="A53" t="s">
        <v>9</v>
      </c>
      <c r="B53" s="19">
        <v>1</v>
      </c>
      <c r="C53" s="19" t="s">
        <v>125</v>
      </c>
      <c r="D53" s="19">
        <v>2</v>
      </c>
      <c r="E53" s="19" t="s">
        <v>125</v>
      </c>
      <c r="F53">
        <v>308</v>
      </c>
      <c r="G53" s="6">
        <v>4.2430000000000003</v>
      </c>
      <c r="H53" s="14" t="s">
        <v>62</v>
      </c>
      <c r="I53" s="4" t="s">
        <v>82</v>
      </c>
      <c r="J53" s="19">
        <v>1</v>
      </c>
      <c r="K53" s="19">
        <v>6</v>
      </c>
      <c r="L53" s="8">
        <v>0.5</v>
      </c>
      <c r="M53" s="2">
        <v>0.1</v>
      </c>
      <c r="N53" s="2">
        <v>85</v>
      </c>
      <c r="O53" s="2">
        <f t="shared" si="0"/>
        <v>14.400000000000006</v>
      </c>
      <c r="P53" s="2">
        <f t="shared" si="1"/>
        <v>0.5841121495327104</v>
      </c>
      <c r="Q53" s="2">
        <f t="shared" si="2"/>
        <v>0.11682242990654207</v>
      </c>
      <c r="R53" s="2">
        <f t="shared" si="3"/>
        <v>99.299065420560751</v>
      </c>
      <c r="S53" s="22">
        <v>0.35112061191253341</v>
      </c>
      <c r="T53" s="22">
        <v>0.17112239902203652</v>
      </c>
      <c r="U53" s="22">
        <v>2.3679747210380415</v>
      </c>
      <c r="V53" s="22">
        <v>0.31988908171760955</v>
      </c>
      <c r="W53" s="22">
        <v>1.5582192151732689E-2</v>
      </c>
      <c r="X53" s="22">
        <v>3.2256890058419532</v>
      </c>
      <c r="Y53" s="22">
        <v>23.818063126975883</v>
      </c>
      <c r="Z53" s="2">
        <v>79.187500000000014</v>
      </c>
      <c r="AA53" s="6">
        <v>0.17500000000000071</v>
      </c>
      <c r="AB53" s="2">
        <v>9.4238018309101026</v>
      </c>
      <c r="AC53" t="s">
        <v>85</v>
      </c>
      <c r="AD53" t="s">
        <v>85</v>
      </c>
    </row>
    <row r="54" spans="1:31" x14ac:dyDescent="0.35">
      <c r="A54" t="s">
        <v>9</v>
      </c>
      <c r="B54" s="19">
        <v>2</v>
      </c>
      <c r="C54" s="19" t="s">
        <v>125</v>
      </c>
      <c r="D54" s="19">
        <v>2</v>
      </c>
      <c r="E54" s="19" t="s">
        <v>125</v>
      </c>
      <c r="F54">
        <v>277</v>
      </c>
      <c r="G54" s="6">
        <v>4.7130000000000001</v>
      </c>
      <c r="H54" s="14" t="s">
        <v>62</v>
      </c>
      <c r="I54" s="4" t="s">
        <v>82</v>
      </c>
      <c r="J54" s="19">
        <v>2</v>
      </c>
      <c r="K54" s="19">
        <v>6</v>
      </c>
      <c r="L54" s="8">
        <v>0.5</v>
      </c>
      <c r="M54" s="2">
        <v>0.1</v>
      </c>
      <c r="N54" s="2">
        <v>85</v>
      </c>
      <c r="O54" s="2">
        <f t="shared" si="0"/>
        <v>14.400000000000006</v>
      </c>
      <c r="P54" s="2">
        <f t="shared" si="1"/>
        <v>0.5841121495327104</v>
      </c>
      <c r="Q54" s="2">
        <f t="shared" si="2"/>
        <v>0.11682242990654207</v>
      </c>
      <c r="R54" s="2">
        <f t="shared" si="3"/>
        <v>99.299065420560751</v>
      </c>
      <c r="S54" s="22">
        <v>0.25244408638683657</v>
      </c>
      <c r="T54" s="22">
        <v>0.16623346459262642</v>
      </c>
      <c r="U54" s="22">
        <v>2.1180679611539608</v>
      </c>
      <c r="V54" s="22">
        <v>0.29711411724643133</v>
      </c>
      <c r="W54" s="22">
        <v>1.9297380993166982E-2</v>
      </c>
      <c r="X54" s="22">
        <v>2.8531570103730224</v>
      </c>
      <c r="Y54" s="22">
        <v>22.458016388230245</v>
      </c>
      <c r="Z54" s="2">
        <v>74.3125</v>
      </c>
      <c r="AA54" s="6">
        <v>0.1379999999999999</v>
      </c>
      <c r="AB54" s="2">
        <v>7.1465561885033644</v>
      </c>
      <c r="AC54" t="s">
        <v>85</v>
      </c>
      <c r="AD54" t="s">
        <v>85</v>
      </c>
    </row>
    <row r="55" spans="1:31" x14ac:dyDescent="0.35">
      <c r="A55" t="s">
        <v>9</v>
      </c>
      <c r="B55" s="19">
        <v>3</v>
      </c>
      <c r="C55" s="19" t="s">
        <v>125</v>
      </c>
      <c r="D55" s="19">
        <v>2</v>
      </c>
      <c r="E55" s="19" t="s">
        <v>125</v>
      </c>
      <c r="F55">
        <v>318</v>
      </c>
      <c r="G55" s="6">
        <v>4.7480000000000002</v>
      </c>
      <c r="H55" s="14" t="s">
        <v>62</v>
      </c>
      <c r="I55" s="4" t="s">
        <v>82</v>
      </c>
      <c r="J55" s="19">
        <v>3</v>
      </c>
      <c r="K55" s="19">
        <v>6</v>
      </c>
      <c r="L55" s="8">
        <v>0.5</v>
      </c>
      <c r="M55" s="2">
        <v>0.1</v>
      </c>
      <c r="N55" s="2">
        <v>85</v>
      </c>
      <c r="O55" s="2">
        <f t="shared" si="0"/>
        <v>14.400000000000006</v>
      </c>
      <c r="P55" s="2">
        <f t="shared" si="1"/>
        <v>0.5841121495327104</v>
      </c>
      <c r="Q55" s="2">
        <f t="shared" si="2"/>
        <v>0.11682242990654207</v>
      </c>
      <c r="R55" s="2">
        <f t="shared" si="3"/>
        <v>99.299065420560751</v>
      </c>
      <c r="S55" s="22">
        <v>0.18605607967513454</v>
      </c>
      <c r="T55" s="22">
        <v>0.14341139607474521</v>
      </c>
      <c r="U55" s="22">
        <v>1.7950845462665459</v>
      </c>
      <c r="V55" s="22">
        <v>0.22846670931985244</v>
      </c>
      <c r="W55" s="22">
        <v>1.7660320976422107E-2</v>
      </c>
      <c r="X55" s="22">
        <v>2.3706790523126999</v>
      </c>
      <c r="Y55" s="22">
        <v>19.10218890927414</v>
      </c>
      <c r="Z55" s="2">
        <v>75.062500000000014</v>
      </c>
      <c r="AA55" s="6">
        <v>0.10200000000000031</v>
      </c>
      <c r="AB55" s="2">
        <v>5.3599579611140458</v>
      </c>
      <c r="AC55" t="s">
        <v>85</v>
      </c>
      <c r="AD55" t="s">
        <v>85</v>
      </c>
    </row>
    <row r="56" spans="1:31" x14ac:dyDescent="0.35">
      <c r="A56" t="s">
        <v>9</v>
      </c>
      <c r="B56" s="19">
        <v>4</v>
      </c>
      <c r="C56" s="19" t="s">
        <v>125</v>
      </c>
      <c r="D56" s="19">
        <v>2</v>
      </c>
      <c r="E56" s="19" t="s">
        <v>125</v>
      </c>
      <c r="F56">
        <v>198</v>
      </c>
      <c r="G56" s="6">
        <v>2.0459999999999998</v>
      </c>
      <c r="H56" s="14" t="s">
        <v>62</v>
      </c>
      <c r="I56" s="4" t="s">
        <v>82</v>
      </c>
      <c r="J56" s="19">
        <v>4</v>
      </c>
      <c r="K56" s="19">
        <v>6</v>
      </c>
      <c r="L56" s="8">
        <v>0.5</v>
      </c>
      <c r="M56" s="2">
        <v>0.1</v>
      </c>
      <c r="N56" s="2">
        <v>85</v>
      </c>
      <c r="O56" s="2">
        <f t="shared" si="0"/>
        <v>14.400000000000006</v>
      </c>
      <c r="P56" s="2">
        <f t="shared" si="1"/>
        <v>0.5841121495327104</v>
      </c>
      <c r="Q56" s="2">
        <f t="shared" si="2"/>
        <v>0.11682242990654207</v>
      </c>
      <c r="R56" s="2">
        <f t="shared" si="3"/>
        <v>99.299065420560751</v>
      </c>
      <c r="S56" s="22"/>
      <c r="T56" s="22"/>
      <c r="U56" s="22"/>
      <c r="V56" s="22"/>
      <c r="W56" s="22"/>
      <c r="X56" s="22"/>
      <c r="Y56" s="22"/>
      <c r="Z56" s="2"/>
      <c r="AA56" s="6"/>
      <c r="AB56" s="2"/>
      <c r="AC56" t="s">
        <v>85</v>
      </c>
      <c r="AD56" t="s">
        <v>85</v>
      </c>
    </row>
    <row r="57" spans="1:31" x14ac:dyDescent="0.35">
      <c r="A57" t="s">
        <v>9</v>
      </c>
      <c r="B57" s="19">
        <v>5</v>
      </c>
      <c r="C57" s="19" t="s">
        <v>125</v>
      </c>
      <c r="D57" s="19">
        <v>2</v>
      </c>
      <c r="E57" s="19" t="s">
        <v>125</v>
      </c>
      <c r="F57">
        <v>391</v>
      </c>
      <c r="G57" s="6">
        <v>3.9420000000000002</v>
      </c>
      <c r="H57" s="14" t="s">
        <v>62</v>
      </c>
      <c r="I57" s="4" t="s">
        <v>82</v>
      </c>
      <c r="J57" s="19">
        <v>5</v>
      </c>
      <c r="K57" s="19">
        <v>6</v>
      </c>
      <c r="L57" s="8">
        <v>0.5</v>
      </c>
      <c r="M57" s="2">
        <v>0.1</v>
      </c>
      <c r="N57" s="2">
        <v>85</v>
      </c>
      <c r="O57" s="2">
        <f t="shared" si="0"/>
        <v>14.400000000000006</v>
      </c>
      <c r="P57" s="2">
        <f t="shared" si="1"/>
        <v>0.5841121495327104</v>
      </c>
      <c r="Q57" s="2">
        <f t="shared" si="2"/>
        <v>0.11682242990654207</v>
      </c>
      <c r="R57" s="2">
        <f t="shared" si="3"/>
        <v>99.299065420560751</v>
      </c>
      <c r="S57" s="22">
        <v>0.15236931214462232</v>
      </c>
      <c r="T57" s="22">
        <v>0.14223411312985956</v>
      </c>
      <c r="U57" s="22">
        <v>1.9086409975852652</v>
      </c>
      <c r="V57" s="22">
        <v>0.21081489286413277</v>
      </c>
      <c r="W57" s="22">
        <v>9.797395931305488E-3</v>
      </c>
      <c r="X57" s="22">
        <v>2.4238567116551852</v>
      </c>
      <c r="Y57" s="22">
        <v>17.913088834813976</v>
      </c>
      <c r="Z57" s="2">
        <v>75.8125</v>
      </c>
      <c r="AA57" s="6">
        <v>0.11600000000000055</v>
      </c>
      <c r="AB57" s="2">
        <v>6.0637741766858637</v>
      </c>
      <c r="AC57" t="s">
        <v>85</v>
      </c>
      <c r="AD57" t="s">
        <v>85</v>
      </c>
    </row>
    <row r="58" spans="1:31" x14ac:dyDescent="0.35">
      <c r="A58" t="s">
        <v>9</v>
      </c>
      <c r="B58" s="19">
        <v>6</v>
      </c>
      <c r="C58" s="19" t="s">
        <v>125</v>
      </c>
      <c r="D58" s="19">
        <v>2</v>
      </c>
      <c r="E58" s="19" t="s">
        <v>125</v>
      </c>
      <c r="F58">
        <v>393</v>
      </c>
      <c r="G58" s="6">
        <v>4.3369999999999997</v>
      </c>
      <c r="H58" s="14" t="s">
        <v>62</v>
      </c>
      <c r="I58" s="4" t="s">
        <v>82</v>
      </c>
      <c r="J58" s="19">
        <v>6</v>
      </c>
      <c r="K58" s="19">
        <v>6</v>
      </c>
      <c r="L58" s="8">
        <v>0.5</v>
      </c>
      <c r="M58" s="2">
        <v>0.1</v>
      </c>
      <c r="N58" s="2">
        <v>85</v>
      </c>
      <c r="O58" s="2">
        <f t="shared" si="0"/>
        <v>14.400000000000006</v>
      </c>
      <c r="P58" s="2">
        <f t="shared" si="1"/>
        <v>0.5841121495327104</v>
      </c>
      <c r="Q58" s="2">
        <f t="shared" si="2"/>
        <v>0.11682242990654207</v>
      </c>
      <c r="R58" s="2">
        <f t="shared" si="3"/>
        <v>99.299065420560751</v>
      </c>
      <c r="S58" s="22">
        <v>0.22902116984674242</v>
      </c>
      <c r="T58" s="22">
        <v>0.12353086091461098</v>
      </c>
      <c r="U58" s="22">
        <v>1.6327941592713593</v>
      </c>
      <c r="V58" s="22">
        <v>0.16701065069199184</v>
      </c>
      <c r="W58" s="22">
        <v>3.711575518015394E-3</v>
      </c>
      <c r="X58" s="22">
        <v>2.1560684162427202</v>
      </c>
      <c r="Y58" s="22">
        <v>16.743400726499452</v>
      </c>
      <c r="Z58" s="2">
        <v>75.249999999999986</v>
      </c>
      <c r="AA58" s="6">
        <v>0.15200000000000102</v>
      </c>
      <c r="AB58" s="2">
        <v>7.1094480823199735</v>
      </c>
      <c r="AC58" t="s">
        <v>85</v>
      </c>
      <c r="AD58" t="s">
        <v>85</v>
      </c>
    </row>
    <row r="59" spans="1:31" x14ac:dyDescent="0.35">
      <c r="A59" t="s">
        <v>9</v>
      </c>
      <c r="B59" s="19">
        <v>7</v>
      </c>
      <c r="C59" s="19" t="s">
        <v>125</v>
      </c>
      <c r="D59" s="19">
        <v>2</v>
      </c>
      <c r="E59" s="19" t="s">
        <v>125</v>
      </c>
      <c r="F59">
        <v>473</v>
      </c>
      <c r="G59" s="6">
        <v>3.6190000000000002</v>
      </c>
      <c r="H59" s="14" t="s">
        <v>62</v>
      </c>
      <c r="I59" s="4" t="s">
        <v>82</v>
      </c>
      <c r="J59" s="19">
        <v>7</v>
      </c>
      <c r="K59" s="19">
        <v>6</v>
      </c>
      <c r="L59" s="8">
        <v>0.5</v>
      </c>
      <c r="M59" s="2">
        <v>0.1</v>
      </c>
      <c r="N59" s="2">
        <v>85</v>
      </c>
      <c r="O59" s="2">
        <f t="shared" si="0"/>
        <v>14.400000000000006</v>
      </c>
      <c r="P59" s="2">
        <f t="shared" si="1"/>
        <v>0.5841121495327104</v>
      </c>
      <c r="Q59" s="2">
        <f t="shared" si="2"/>
        <v>0.11682242990654207</v>
      </c>
      <c r="R59" s="2">
        <f t="shared" si="3"/>
        <v>99.299065420560751</v>
      </c>
      <c r="S59" s="22"/>
      <c r="T59" s="22"/>
      <c r="U59" s="22"/>
      <c r="V59" s="22"/>
      <c r="W59" s="22"/>
      <c r="X59" s="22"/>
      <c r="Y59" s="22"/>
      <c r="Z59" s="2"/>
      <c r="AA59" s="6"/>
      <c r="AB59" s="2"/>
      <c r="AC59" t="s">
        <v>85</v>
      </c>
      <c r="AD59" t="s">
        <v>85</v>
      </c>
    </row>
    <row r="60" spans="1:31" x14ac:dyDescent="0.35">
      <c r="A60" t="s">
        <v>9</v>
      </c>
      <c r="B60" s="19">
        <v>8</v>
      </c>
      <c r="C60" s="19" t="s">
        <v>125</v>
      </c>
      <c r="D60" s="19">
        <v>2</v>
      </c>
      <c r="E60" s="19" t="s">
        <v>125</v>
      </c>
      <c r="F60">
        <v>484</v>
      </c>
      <c r="G60" s="6">
        <v>3.4</v>
      </c>
      <c r="H60" s="14" t="s">
        <v>62</v>
      </c>
      <c r="I60" s="4" t="s">
        <v>82</v>
      </c>
      <c r="J60" s="19">
        <v>8</v>
      </c>
      <c r="K60" s="19">
        <v>6</v>
      </c>
      <c r="L60" s="8">
        <v>0.5</v>
      </c>
      <c r="M60" s="2">
        <v>0.1</v>
      </c>
      <c r="N60" s="2">
        <v>85</v>
      </c>
      <c r="O60" s="2">
        <f t="shared" si="0"/>
        <v>14.400000000000006</v>
      </c>
      <c r="P60" s="2">
        <f t="shared" si="1"/>
        <v>0.5841121495327104</v>
      </c>
      <c r="Q60" s="2">
        <f t="shared" si="2"/>
        <v>0.11682242990654207</v>
      </c>
      <c r="R60" s="2">
        <f t="shared" si="3"/>
        <v>99.299065420560751</v>
      </c>
      <c r="S60" s="22"/>
      <c r="T60" s="22"/>
      <c r="U60" s="22"/>
      <c r="V60" s="22"/>
      <c r="W60" s="22"/>
      <c r="X60" s="22"/>
      <c r="Y60" s="22"/>
      <c r="Z60" s="2"/>
      <c r="AA60" s="6"/>
      <c r="AB60" s="2"/>
      <c r="AC60" t="s">
        <v>85</v>
      </c>
      <c r="AD60" t="s">
        <v>85</v>
      </c>
    </row>
    <row r="61" spans="1:31" x14ac:dyDescent="0.35">
      <c r="A61" t="s">
        <v>9</v>
      </c>
      <c r="B61" s="19">
        <v>9</v>
      </c>
      <c r="C61" s="19" t="s">
        <v>124</v>
      </c>
      <c r="D61" s="19">
        <v>1</v>
      </c>
      <c r="E61" s="19"/>
      <c r="F61">
        <v>69</v>
      </c>
      <c r="G61">
        <v>1.927</v>
      </c>
      <c r="H61" s="14" t="s">
        <v>62</v>
      </c>
      <c r="I61" s="4" t="s">
        <v>82</v>
      </c>
      <c r="J61" s="19">
        <v>1</v>
      </c>
      <c r="K61" s="19">
        <v>6</v>
      </c>
      <c r="L61" s="8">
        <v>0.5</v>
      </c>
      <c r="M61" s="2">
        <v>0.1</v>
      </c>
      <c r="N61" s="2">
        <v>85</v>
      </c>
      <c r="O61" s="2">
        <f t="shared" si="0"/>
        <v>14.400000000000006</v>
      </c>
      <c r="P61" s="2">
        <f t="shared" si="1"/>
        <v>0.5841121495327104</v>
      </c>
      <c r="Q61" s="2">
        <f t="shared" si="2"/>
        <v>0.11682242990654207</v>
      </c>
      <c r="R61" s="2">
        <f t="shared" si="3"/>
        <v>99.299065420560751</v>
      </c>
      <c r="S61" s="22"/>
      <c r="T61" s="22"/>
      <c r="U61" s="22"/>
      <c r="V61" s="22"/>
      <c r="W61" s="22"/>
      <c r="X61" s="22"/>
      <c r="Y61" s="22"/>
      <c r="Z61" s="2"/>
      <c r="AA61" s="6"/>
      <c r="AB61" s="2"/>
      <c r="AC61" t="s">
        <v>87</v>
      </c>
      <c r="AD61" t="s">
        <v>87</v>
      </c>
    </row>
    <row r="62" spans="1:31" x14ac:dyDescent="0.35">
      <c r="A62" t="s">
        <v>9</v>
      </c>
      <c r="B62" s="19">
        <v>10</v>
      </c>
      <c r="C62" s="19" t="s">
        <v>124</v>
      </c>
      <c r="D62" s="19">
        <v>1</v>
      </c>
      <c r="E62" s="19"/>
      <c r="F62">
        <v>68</v>
      </c>
      <c r="G62">
        <v>1.4710000000000001</v>
      </c>
      <c r="H62" s="14" t="s">
        <v>62</v>
      </c>
      <c r="I62" s="4" t="s">
        <v>82</v>
      </c>
      <c r="J62" s="19">
        <v>2</v>
      </c>
      <c r="K62" s="19">
        <v>6</v>
      </c>
      <c r="L62" s="8">
        <v>0.5</v>
      </c>
      <c r="M62" s="2">
        <v>0.1</v>
      </c>
      <c r="N62" s="2">
        <v>85</v>
      </c>
      <c r="O62" s="2">
        <f t="shared" si="0"/>
        <v>14.400000000000006</v>
      </c>
      <c r="P62" s="2">
        <f t="shared" si="1"/>
        <v>0.5841121495327104</v>
      </c>
      <c r="Q62" s="2">
        <f t="shared" si="2"/>
        <v>0.11682242990654207</v>
      </c>
      <c r="R62" s="2">
        <f t="shared" si="3"/>
        <v>99.299065420560751</v>
      </c>
      <c r="S62" s="22"/>
      <c r="T62" s="22"/>
      <c r="U62" s="22"/>
      <c r="V62" s="22"/>
      <c r="W62" s="22"/>
      <c r="X62" s="22"/>
      <c r="Y62" s="22"/>
      <c r="Z62" s="2"/>
      <c r="AA62" s="6"/>
      <c r="AB62" s="2"/>
      <c r="AC62" t="s">
        <v>87</v>
      </c>
      <c r="AD62" t="s">
        <v>87</v>
      </c>
    </row>
    <row r="63" spans="1:31" x14ac:dyDescent="0.35">
      <c r="A63" t="s">
        <v>65</v>
      </c>
      <c r="B63" s="19">
        <v>1</v>
      </c>
      <c r="C63" s="19" t="s">
        <v>125</v>
      </c>
      <c r="D63" s="19">
        <v>2</v>
      </c>
      <c r="E63" s="19" t="s">
        <v>125</v>
      </c>
      <c r="F63">
        <f>308+196</f>
        <v>504</v>
      </c>
      <c r="G63" s="6">
        <v>9.6479999999999997</v>
      </c>
      <c r="H63" s="14" t="s">
        <v>62</v>
      </c>
      <c r="I63" s="4" t="s">
        <v>82</v>
      </c>
      <c r="J63" s="19">
        <v>1</v>
      </c>
      <c r="K63" s="19">
        <v>6</v>
      </c>
      <c r="L63" s="8">
        <v>30.925000000000001</v>
      </c>
      <c r="M63" s="2">
        <v>5.0999999999999996</v>
      </c>
      <c r="N63" s="2">
        <v>15.2</v>
      </c>
      <c r="O63" s="2">
        <f t="shared" si="0"/>
        <v>48.775000000000006</v>
      </c>
      <c r="P63" s="2">
        <f t="shared" si="1"/>
        <v>60.370912640312355</v>
      </c>
      <c r="Q63" s="2">
        <f t="shared" si="2"/>
        <v>9.9560761346998543</v>
      </c>
      <c r="R63" s="2">
        <f t="shared" si="3"/>
        <v>29.6730112249878</v>
      </c>
      <c r="S63" s="22"/>
      <c r="T63" s="22"/>
      <c r="U63" s="22"/>
      <c r="V63" s="22"/>
      <c r="W63" s="22"/>
      <c r="X63" s="22"/>
      <c r="Y63" s="22"/>
      <c r="Z63" s="2"/>
      <c r="AA63" s="6"/>
      <c r="AB63" s="2"/>
      <c r="AC63" t="s">
        <v>85</v>
      </c>
      <c r="AD63" t="s">
        <v>85</v>
      </c>
    </row>
    <row r="64" spans="1:31" x14ac:dyDescent="0.35">
      <c r="A64" t="s">
        <v>65</v>
      </c>
      <c r="B64" s="19">
        <v>2</v>
      </c>
      <c r="C64" s="19" t="s">
        <v>125</v>
      </c>
      <c r="D64" s="19">
        <v>2</v>
      </c>
      <c r="E64" s="19" t="s">
        <v>125</v>
      </c>
      <c r="F64">
        <v>454</v>
      </c>
      <c r="G64" s="6">
        <v>10.978</v>
      </c>
      <c r="H64" s="14" t="s">
        <v>62</v>
      </c>
      <c r="I64" s="4" t="s">
        <v>82</v>
      </c>
      <c r="J64" s="19">
        <v>2</v>
      </c>
      <c r="K64" s="19">
        <v>6</v>
      </c>
      <c r="L64" s="8">
        <v>30.925000000000001</v>
      </c>
      <c r="M64" s="2">
        <v>5.0999999999999996</v>
      </c>
      <c r="N64" s="2">
        <v>15.2</v>
      </c>
      <c r="O64" s="2">
        <f t="shared" si="0"/>
        <v>48.775000000000006</v>
      </c>
      <c r="P64" s="2">
        <f t="shared" si="1"/>
        <v>60.370912640312355</v>
      </c>
      <c r="Q64" s="2">
        <f t="shared" si="2"/>
        <v>9.9560761346998543</v>
      </c>
      <c r="R64" s="2">
        <f t="shared" si="3"/>
        <v>29.6730112249878</v>
      </c>
      <c r="S64" s="22">
        <v>0.24832767799175035</v>
      </c>
      <c r="T64" s="22">
        <v>6.3535817898956654E-2</v>
      </c>
      <c r="U64" s="22">
        <v>1.3881808876119155</v>
      </c>
      <c r="V64" s="22">
        <v>0.1919674488596016</v>
      </c>
      <c r="W64" s="22">
        <v>5.6494289600219254E-3</v>
      </c>
      <c r="X64" s="22">
        <v>1.8976612613222461</v>
      </c>
      <c r="Y64" s="22">
        <v>21.904973029097658</v>
      </c>
      <c r="Z64" s="2">
        <v>72.375</v>
      </c>
      <c r="AA64" s="6">
        <v>0.12199999999999989</v>
      </c>
      <c r="AB64" s="2">
        <v>6.4687168610816439</v>
      </c>
      <c r="AC64" t="s">
        <v>85</v>
      </c>
      <c r="AD64" t="s">
        <v>85</v>
      </c>
      <c r="AE64" t="s">
        <v>85</v>
      </c>
    </row>
    <row r="65" spans="1:31" x14ac:dyDescent="0.35">
      <c r="A65" t="s">
        <v>65</v>
      </c>
      <c r="B65" s="19">
        <v>3</v>
      </c>
      <c r="C65" s="19" t="s">
        <v>125</v>
      </c>
      <c r="D65" s="19">
        <v>2</v>
      </c>
      <c r="E65" s="19" t="s">
        <v>125</v>
      </c>
      <c r="F65">
        <v>326</v>
      </c>
      <c r="G65" s="6">
        <v>12.805999999999999</v>
      </c>
      <c r="H65" s="14" t="s">
        <v>62</v>
      </c>
      <c r="I65" s="4" t="s">
        <v>82</v>
      </c>
      <c r="J65" s="19">
        <v>3</v>
      </c>
      <c r="K65" s="19">
        <v>6</v>
      </c>
      <c r="L65" s="8">
        <v>30.925000000000001</v>
      </c>
      <c r="M65" s="2">
        <v>5.0999999999999996</v>
      </c>
      <c r="N65" s="2">
        <v>15.2</v>
      </c>
      <c r="O65" s="2">
        <f t="shared" si="0"/>
        <v>48.775000000000006</v>
      </c>
      <c r="P65" s="2">
        <f t="shared" si="1"/>
        <v>60.370912640312355</v>
      </c>
      <c r="Q65" s="2">
        <f t="shared" si="2"/>
        <v>9.9560761346998543</v>
      </c>
      <c r="R65" s="2">
        <f t="shared" si="3"/>
        <v>29.6730112249878</v>
      </c>
      <c r="S65" s="22">
        <v>0.65721227830566209</v>
      </c>
      <c r="T65" s="22">
        <v>0.14922784652627291</v>
      </c>
      <c r="U65" s="22">
        <v>1.8754341557827849</v>
      </c>
      <c r="V65" s="22">
        <v>0.26879216443996568</v>
      </c>
      <c r="W65" s="22">
        <v>1.8905885775785326E-2</v>
      </c>
      <c r="X65" s="22">
        <v>2.9695723308304709</v>
      </c>
      <c r="Y65" s="22">
        <v>33.476292315855261</v>
      </c>
      <c r="Z65" s="2">
        <v>66.8125</v>
      </c>
      <c r="AA65" s="6">
        <v>0.13999999999999968</v>
      </c>
      <c r="AB65" s="2">
        <v>6.0449050086355651</v>
      </c>
      <c r="AC65" t="s">
        <v>85</v>
      </c>
      <c r="AD65" t="s">
        <v>85</v>
      </c>
      <c r="AE65" t="s">
        <v>85</v>
      </c>
    </row>
    <row r="66" spans="1:31" x14ac:dyDescent="0.35">
      <c r="A66" t="s">
        <v>65</v>
      </c>
      <c r="B66" s="19">
        <v>4</v>
      </c>
      <c r="C66" s="19" t="s">
        <v>125</v>
      </c>
      <c r="D66" s="19">
        <v>2</v>
      </c>
      <c r="E66" s="19" t="s">
        <v>125</v>
      </c>
      <c r="F66">
        <v>124</v>
      </c>
      <c r="G66" s="6">
        <v>7.3079999999999998</v>
      </c>
      <c r="H66" s="14" t="s">
        <v>62</v>
      </c>
      <c r="I66" s="4" t="s">
        <v>82</v>
      </c>
      <c r="J66" s="19">
        <v>4</v>
      </c>
      <c r="K66" s="19">
        <v>6</v>
      </c>
      <c r="L66" s="8">
        <v>30.925000000000001</v>
      </c>
      <c r="M66" s="2">
        <v>5.0999999999999996</v>
      </c>
      <c r="N66" s="2">
        <v>15.2</v>
      </c>
      <c r="O66" s="2">
        <f t="shared" ref="O66:O87" si="4">100-L66-M66-N66</f>
        <v>48.775000000000006</v>
      </c>
      <c r="P66" s="2">
        <f t="shared" ref="P66:P87" si="5">(L66/(SUM(L66:N66))*100)</f>
        <v>60.370912640312355</v>
      </c>
      <c r="Q66" s="2">
        <f t="shared" ref="Q66:Q87" si="6">(M66/(SUM(L66:N66))*100)</f>
        <v>9.9560761346998543</v>
      </c>
      <c r="R66" s="2">
        <f t="shared" ref="R66:R87" si="7">(N66/(SUM(L66:N66))*100)</f>
        <v>29.6730112249878</v>
      </c>
      <c r="S66" s="22"/>
      <c r="T66" s="22"/>
      <c r="U66" s="22"/>
      <c r="V66" s="22"/>
      <c r="W66" s="22"/>
      <c r="X66" s="22"/>
      <c r="Y66" s="22"/>
      <c r="Z66" s="2"/>
      <c r="AA66" s="6"/>
      <c r="AB66" s="2"/>
      <c r="AC66" t="s">
        <v>85</v>
      </c>
      <c r="AD66" t="s">
        <v>85</v>
      </c>
    </row>
    <row r="67" spans="1:31" x14ac:dyDescent="0.35">
      <c r="A67" t="s">
        <v>65</v>
      </c>
      <c r="B67" s="19">
        <v>5</v>
      </c>
      <c r="C67" s="19" t="s">
        <v>125</v>
      </c>
      <c r="D67" s="19">
        <v>2</v>
      </c>
      <c r="E67" s="19" t="s">
        <v>125</v>
      </c>
      <c r="F67">
        <v>289</v>
      </c>
      <c r="G67" s="6">
        <v>4.7359999999999998</v>
      </c>
      <c r="H67" s="14" t="s">
        <v>62</v>
      </c>
      <c r="I67" s="4" t="s">
        <v>82</v>
      </c>
      <c r="J67" s="19">
        <v>5</v>
      </c>
      <c r="K67" s="19">
        <v>6</v>
      </c>
      <c r="L67" s="8">
        <v>30.925000000000001</v>
      </c>
      <c r="M67" s="2">
        <v>5.0999999999999996</v>
      </c>
      <c r="N67" s="2">
        <v>15.2</v>
      </c>
      <c r="O67" s="2">
        <f t="shared" si="4"/>
        <v>48.775000000000006</v>
      </c>
      <c r="P67" s="2">
        <f t="shared" si="5"/>
        <v>60.370912640312355</v>
      </c>
      <c r="Q67" s="2">
        <f t="shared" si="6"/>
        <v>9.9560761346998543</v>
      </c>
      <c r="R67" s="2">
        <f t="shared" si="7"/>
        <v>29.6730112249878</v>
      </c>
      <c r="S67" s="22"/>
      <c r="T67" s="22"/>
      <c r="U67" s="22"/>
      <c r="V67" s="22"/>
      <c r="W67" s="22"/>
      <c r="X67" s="22"/>
      <c r="Y67" s="22"/>
      <c r="Z67" s="2"/>
      <c r="AA67" s="6"/>
      <c r="AB67" s="2"/>
      <c r="AC67" t="s">
        <v>85</v>
      </c>
      <c r="AD67" t="s">
        <v>85</v>
      </c>
    </row>
    <row r="68" spans="1:31" x14ac:dyDescent="0.35">
      <c r="A68" t="s">
        <v>65</v>
      </c>
      <c r="B68" s="19">
        <v>6</v>
      </c>
      <c r="C68" s="19" t="s">
        <v>125</v>
      </c>
      <c r="D68" s="19">
        <v>2</v>
      </c>
      <c r="E68" s="19" t="s">
        <v>125</v>
      </c>
      <c r="F68">
        <f>259+332</f>
        <v>591</v>
      </c>
      <c r="G68" s="6">
        <v>23.373999999999999</v>
      </c>
      <c r="H68" s="14" t="s">
        <v>62</v>
      </c>
      <c r="I68" s="4" t="s">
        <v>82</v>
      </c>
      <c r="J68" s="19">
        <v>6</v>
      </c>
      <c r="K68" s="19">
        <v>6</v>
      </c>
      <c r="L68" s="8">
        <v>30.925000000000001</v>
      </c>
      <c r="M68" s="2">
        <v>5.0999999999999996</v>
      </c>
      <c r="N68" s="2">
        <v>15.2</v>
      </c>
      <c r="O68" s="2">
        <f t="shared" si="4"/>
        <v>48.775000000000006</v>
      </c>
      <c r="P68" s="2">
        <f t="shared" si="5"/>
        <v>60.370912640312355</v>
      </c>
      <c r="Q68" s="2">
        <f t="shared" si="6"/>
        <v>9.9560761346998543</v>
      </c>
      <c r="R68" s="2">
        <f t="shared" si="7"/>
        <v>29.6730112249878</v>
      </c>
      <c r="S68" s="22">
        <v>0.63202874955730926</v>
      </c>
      <c r="T68" s="22">
        <v>9.3088151496070276E-2</v>
      </c>
      <c r="U68" s="22">
        <v>1.2924656515160993</v>
      </c>
      <c r="V68" s="22">
        <v>0.18325850972388447</v>
      </c>
      <c r="W68" s="22">
        <v>1.1548011379161994E-2</v>
      </c>
      <c r="X68" s="22">
        <v>2.2123890736725254</v>
      </c>
      <c r="Y68" s="22">
        <v>27.444540588386531</v>
      </c>
      <c r="Z68" s="2">
        <v>64.9375</v>
      </c>
      <c r="AA68" s="6">
        <v>0.15299999999999958</v>
      </c>
      <c r="AB68" s="2">
        <v>7.0474435743896651</v>
      </c>
      <c r="AC68" t="s">
        <v>85</v>
      </c>
      <c r="AD68" t="s">
        <v>85</v>
      </c>
    </row>
    <row r="69" spans="1:31" x14ac:dyDescent="0.35">
      <c r="A69" t="s">
        <v>65</v>
      </c>
      <c r="B69" s="19">
        <v>7</v>
      </c>
      <c r="C69" s="19" t="s">
        <v>125</v>
      </c>
      <c r="D69" s="19">
        <v>2</v>
      </c>
      <c r="E69" s="19" t="s">
        <v>125</v>
      </c>
      <c r="F69">
        <f>321+295</f>
        <v>616</v>
      </c>
      <c r="G69" s="6">
        <v>28.462</v>
      </c>
      <c r="H69" s="14" t="s">
        <v>62</v>
      </c>
      <c r="I69" s="4" t="s">
        <v>82</v>
      </c>
      <c r="J69" s="19">
        <v>7</v>
      </c>
      <c r="K69" s="19">
        <v>6</v>
      </c>
      <c r="L69" s="8">
        <v>30.925000000000001</v>
      </c>
      <c r="M69" s="2">
        <v>5.0999999999999996</v>
      </c>
      <c r="N69" s="2">
        <v>15.2</v>
      </c>
      <c r="O69" s="2">
        <f t="shared" si="4"/>
        <v>48.775000000000006</v>
      </c>
      <c r="P69" s="2">
        <f t="shared" si="5"/>
        <v>60.370912640312355</v>
      </c>
      <c r="Q69" s="2">
        <f t="shared" si="6"/>
        <v>9.9560761346998543</v>
      </c>
      <c r="R69" s="2">
        <f t="shared" si="7"/>
        <v>29.6730112249878</v>
      </c>
      <c r="S69" s="22">
        <v>0.53549026453575033</v>
      </c>
      <c r="T69" s="22">
        <v>9.5593330272307181E-2</v>
      </c>
      <c r="U69" s="22">
        <v>1.80554818177872</v>
      </c>
      <c r="V69" s="22">
        <v>0.25456807982720081</v>
      </c>
      <c r="W69" s="22">
        <v>2.1775249254809115E-2</v>
      </c>
      <c r="X69" s="22">
        <v>2.7129751056687872</v>
      </c>
      <c r="Y69" s="22">
        <v>36.210258689801307</v>
      </c>
      <c r="Z69" s="2">
        <v>62.812499999999993</v>
      </c>
      <c r="AA69" s="6">
        <v>0.24499999999999922</v>
      </c>
      <c r="AB69" s="2">
        <v>7.7556188667299564</v>
      </c>
      <c r="AC69" t="s">
        <v>85</v>
      </c>
      <c r="AD69" t="s">
        <v>85</v>
      </c>
    </row>
    <row r="70" spans="1:31" x14ac:dyDescent="0.35">
      <c r="A70" t="s">
        <v>65</v>
      </c>
      <c r="B70" s="19">
        <v>8</v>
      </c>
      <c r="C70" s="19" t="s">
        <v>125</v>
      </c>
      <c r="D70" s="19">
        <v>2</v>
      </c>
      <c r="E70" s="19" t="s">
        <v>125</v>
      </c>
      <c r="F70">
        <v>451</v>
      </c>
      <c r="G70" s="6">
        <v>20.457000000000001</v>
      </c>
      <c r="H70" s="14" t="s">
        <v>62</v>
      </c>
      <c r="I70" s="4" t="s">
        <v>82</v>
      </c>
      <c r="J70" s="19">
        <v>8</v>
      </c>
      <c r="K70" s="19">
        <v>6</v>
      </c>
      <c r="L70" s="8">
        <v>30.925000000000001</v>
      </c>
      <c r="M70" s="2">
        <v>5.0999999999999996</v>
      </c>
      <c r="N70" s="2">
        <v>15.2</v>
      </c>
      <c r="O70" s="2">
        <f t="shared" si="4"/>
        <v>48.775000000000006</v>
      </c>
      <c r="P70" s="2">
        <f t="shared" si="5"/>
        <v>60.370912640312355</v>
      </c>
      <c r="Q70" s="2">
        <f t="shared" si="6"/>
        <v>9.9560761346998543</v>
      </c>
      <c r="R70" s="2">
        <f t="shared" si="7"/>
        <v>29.6730112249878</v>
      </c>
      <c r="S70" s="22">
        <v>0.96770107015596263</v>
      </c>
      <c r="T70" s="22">
        <v>9.0015565593943622E-2</v>
      </c>
      <c r="U70" s="22">
        <v>1.5748747180408418</v>
      </c>
      <c r="V70" s="22">
        <v>0.18647838973339528</v>
      </c>
      <c r="W70" s="22">
        <v>2.5001431980400126E-3</v>
      </c>
      <c r="X70" s="22">
        <v>2.8215698867221835</v>
      </c>
      <c r="Y70" s="22">
        <v>50.162530583616508</v>
      </c>
      <c r="Z70" s="2">
        <v>59.875</v>
      </c>
      <c r="AA70" s="6">
        <v>0.18900000000000006</v>
      </c>
      <c r="AB70" s="2">
        <v>6.5105063727178791</v>
      </c>
      <c r="AC70" t="s">
        <v>85</v>
      </c>
      <c r="AD70" t="s">
        <v>85</v>
      </c>
    </row>
    <row r="71" spans="1:31" x14ac:dyDescent="0.35">
      <c r="A71" t="s">
        <v>65</v>
      </c>
      <c r="B71" s="19">
        <v>9</v>
      </c>
      <c r="C71" s="19" t="s">
        <v>124</v>
      </c>
      <c r="D71" s="19">
        <v>1</v>
      </c>
      <c r="E71" s="19"/>
      <c r="F71">
        <v>239</v>
      </c>
      <c r="G71">
        <v>3.89</v>
      </c>
      <c r="H71" s="4" t="s">
        <v>62</v>
      </c>
      <c r="I71" s="4" t="s">
        <v>82</v>
      </c>
      <c r="J71" s="19">
        <v>1</v>
      </c>
      <c r="K71" s="19">
        <v>6</v>
      </c>
      <c r="L71" s="8">
        <v>30.925000000000001</v>
      </c>
      <c r="M71" s="2">
        <v>5.0999999999999996</v>
      </c>
      <c r="N71" s="2">
        <v>15.2</v>
      </c>
      <c r="O71" s="2">
        <f t="shared" si="4"/>
        <v>48.775000000000006</v>
      </c>
      <c r="P71" s="2">
        <f t="shared" si="5"/>
        <v>60.370912640312355</v>
      </c>
      <c r="Q71" s="2">
        <f t="shared" si="6"/>
        <v>9.9560761346998543</v>
      </c>
      <c r="R71" s="2">
        <f t="shared" si="7"/>
        <v>29.6730112249878</v>
      </c>
      <c r="S71" s="22"/>
      <c r="T71" s="22"/>
      <c r="U71" s="22"/>
      <c r="V71" s="22"/>
      <c r="W71" s="22"/>
      <c r="X71" s="22"/>
      <c r="Y71" s="22"/>
      <c r="Z71" s="2"/>
      <c r="AA71" s="6"/>
      <c r="AB71" s="2"/>
      <c r="AC71" t="s">
        <v>87</v>
      </c>
      <c r="AD71" t="s">
        <v>87</v>
      </c>
    </row>
    <row r="72" spans="1:31" x14ac:dyDescent="0.35">
      <c r="A72" t="s">
        <v>65</v>
      </c>
      <c r="B72" s="19">
        <v>10</v>
      </c>
      <c r="C72" s="19" t="s">
        <v>124</v>
      </c>
      <c r="D72" s="19">
        <v>1</v>
      </c>
      <c r="E72" s="19"/>
      <c r="F72">
        <v>192</v>
      </c>
      <c r="G72">
        <v>3.5369999999999999</v>
      </c>
      <c r="H72" s="4" t="s">
        <v>62</v>
      </c>
      <c r="I72" s="4" t="s">
        <v>82</v>
      </c>
      <c r="J72" s="19">
        <v>2</v>
      </c>
      <c r="K72" s="19">
        <v>6</v>
      </c>
      <c r="L72" s="8">
        <v>30.925000000000001</v>
      </c>
      <c r="M72" s="2">
        <v>5.0999999999999996</v>
      </c>
      <c r="N72" s="2">
        <v>15.2</v>
      </c>
      <c r="O72" s="2">
        <f t="shared" si="4"/>
        <v>48.775000000000006</v>
      </c>
      <c r="P72" s="2">
        <f t="shared" si="5"/>
        <v>60.370912640312355</v>
      </c>
      <c r="Q72" s="2">
        <f t="shared" si="6"/>
        <v>9.9560761346998543</v>
      </c>
      <c r="R72" s="2">
        <f t="shared" si="7"/>
        <v>29.6730112249878</v>
      </c>
      <c r="S72" s="22"/>
      <c r="T72" s="22"/>
      <c r="U72" s="22"/>
      <c r="V72" s="22"/>
      <c r="W72" s="22"/>
      <c r="X72" s="22"/>
      <c r="Y72" s="22"/>
      <c r="Z72" s="2"/>
      <c r="AA72" s="6"/>
      <c r="AB72" s="2"/>
      <c r="AC72" t="s">
        <v>87</v>
      </c>
      <c r="AD72" t="s">
        <v>87</v>
      </c>
    </row>
    <row r="73" spans="1:31" x14ac:dyDescent="0.35">
      <c r="A73" t="s">
        <v>65</v>
      </c>
      <c r="B73" s="19">
        <v>11</v>
      </c>
      <c r="C73" s="19" t="s">
        <v>126</v>
      </c>
      <c r="D73" s="19">
        <v>3</v>
      </c>
      <c r="E73" s="19" t="s">
        <v>126</v>
      </c>
      <c r="F73">
        <v>5</v>
      </c>
      <c r="G73" s="2">
        <v>1.42</v>
      </c>
      <c r="H73" s="4" t="s">
        <v>63</v>
      </c>
      <c r="I73" s="4" t="s">
        <v>61</v>
      </c>
      <c r="J73" s="19">
        <v>1</v>
      </c>
      <c r="K73" s="19">
        <v>7</v>
      </c>
      <c r="L73" s="8">
        <v>30.925000000000001</v>
      </c>
      <c r="M73" s="2">
        <v>5.0999999999999996</v>
      </c>
      <c r="N73" s="2">
        <v>15.2</v>
      </c>
      <c r="O73" s="2">
        <f t="shared" si="4"/>
        <v>48.775000000000006</v>
      </c>
      <c r="P73" s="2">
        <f t="shared" si="5"/>
        <v>60.370912640312355</v>
      </c>
      <c r="Q73" s="2">
        <f t="shared" si="6"/>
        <v>9.9560761346998543</v>
      </c>
      <c r="R73" s="2">
        <f t="shared" si="7"/>
        <v>29.6730112249878</v>
      </c>
      <c r="S73" s="22"/>
      <c r="T73" s="22"/>
      <c r="U73" s="22"/>
      <c r="V73" s="22"/>
      <c r="W73" s="22"/>
      <c r="X73" s="22"/>
      <c r="Y73" s="22"/>
      <c r="Z73" s="2"/>
      <c r="AA73" s="2"/>
      <c r="AC73" t="s">
        <v>85</v>
      </c>
      <c r="AD73" t="s">
        <v>85</v>
      </c>
    </row>
    <row r="74" spans="1:31" x14ac:dyDescent="0.35">
      <c r="A74" t="s">
        <v>65</v>
      </c>
      <c r="B74" s="19">
        <v>12</v>
      </c>
      <c r="C74" s="19" t="s">
        <v>126</v>
      </c>
      <c r="D74" s="19">
        <v>3</v>
      </c>
      <c r="E74" s="19" t="s">
        <v>126</v>
      </c>
      <c r="F74">
        <v>294</v>
      </c>
      <c r="G74" s="2">
        <v>6.976</v>
      </c>
      <c r="H74" s="4" t="s">
        <v>63</v>
      </c>
      <c r="I74" s="4" t="s">
        <v>61</v>
      </c>
      <c r="J74" s="19">
        <v>2</v>
      </c>
      <c r="K74" s="19">
        <v>7</v>
      </c>
      <c r="L74" s="8">
        <v>30.925000000000001</v>
      </c>
      <c r="M74" s="2">
        <v>5.0999999999999996</v>
      </c>
      <c r="N74" s="2">
        <v>15.2</v>
      </c>
      <c r="O74" s="2">
        <f t="shared" si="4"/>
        <v>48.775000000000006</v>
      </c>
      <c r="P74" s="2">
        <f t="shared" si="5"/>
        <v>60.370912640312355</v>
      </c>
      <c r="Q74" s="2">
        <f t="shared" si="6"/>
        <v>9.9560761346998543</v>
      </c>
      <c r="R74" s="2">
        <f t="shared" si="7"/>
        <v>29.6730112249878</v>
      </c>
      <c r="S74" s="22"/>
      <c r="T74" s="22"/>
      <c r="U74" s="22"/>
      <c r="V74" s="22"/>
      <c r="W74" s="22"/>
      <c r="X74" s="22"/>
      <c r="Y74" s="22"/>
      <c r="Z74" s="2"/>
      <c r="AA74" s="2"/>
      <c r="AC74" t="s">
        <v>85</v>
      </c>
      <c r="AD74" t="s">
        <v>85</v>
      </c>
    </row>
    <row r="75" spans="1:31" x14ac:dyDescent="0.35">
      <c r="A75" t="s">
        <v>65</v>
      </c>
      <c r="B75" s="19">
        <v>13</v>
      </c>
      <c r="C75" s="19" t="s">
        <v>126</v>
      </c>
      <c r="D75" s="19">
        <v>3</v>
      </c>
      <c r="E75" s="19" t="s">
        <v>126</v>
      </c>
      <c r="F75">
        <v>394</v>
      </c>
      <c r="G75" s="2">
        <v>7.6539999999999999</v>
      </c>
      <c r="H75" s="4" t="s">
        <v>63</v>
      </c>
      <c r="I75" s="4" t="s">
        <v>61</v>
      </c>
      <c r="J75" s="19">
        <v>3</v>
      </c>
      <c r="K75" s="19">
        <v>7</v>
      </c>
      <c r="L75" s="8">
        <v>30.925000000000001</v>
      </c>
      <c r="M75" s="2">
        <v>5.0999999999999996</v>
      </c>
      <c r="N75" s="2">
        <v>15.2</v>
      </c>
      <c r="O75" s="2">
        <f t="shared" si="4"/>
        <v>48.775000000000006</v>
      </c>
      <c r="P75" s="2">
        <f t="shared" si="5"/>
        <v>60.370912640312355</v>
      </c>
      <c r="Q75" s="2">
        <f t="shared" si="6"/>
        <v>9.9560761346998543</v>
      </c>
      <c r="R75" s="2">
        <f t="shared" si="7"/>
        <v>29.6730112249878</v>
      </c>
      <c r="S75" s="22"/>
      <c r="T75" s="22"/>
      <c r="U75" s="22"/>
      <c r="V75" s="22"/>
      <c r="W75" s="22"/>
      <c r="X75" s="22"/>
      <c r="Y75" s="22"/>
      <c r="Z75" s="2"/>
      <c r="AA75" s="2"/>
      <c r="AC75" t="s">
        <v>85</v>
      </c>
      <c r="AD75" t="s">
        <v>85</v>
      </c>
    </row>
    <row r="76" spans="1:31" x14ac:dyDescent="0.35">
      <c r="A76" t="s">
        <v>65</v>
      </c>
      <c r="B76" s="19">
        <v>14</v>
      </c>
      <c r="C76" s="19" t="s">
        <v>126</v>
      </c>
      <c r="D76" s="19">
        <v>3</v>
      </c>
      <c r="E76" s="19" t="s">
        <v>126</v>
      </c>
      <c r="F76">
        <v>289</v>
      </c>
      <c r="G76" s="2">
        <v>7.8630000000000004</v>
      </c>
      <c r="H76" s="4" t="s">
        <v>63</v>
      </c>
      <c r="I76" s="4" t="s">
        <v>61</v>
      </c>
      <c r="J76" s="19">
        <v>4</v>
      </c>
      <c r="K76" s="19">
        <v>7</v>
      </c>
      <c r="L76" s="8">
        <v>30.925000000000001</v>
      </c>
      <c r="M76" s="2">
        <v>5.0999999999999996</v>
      </c>
      <c r="N76" s="2">
        <v>15.2</v>
      </c>
      <c r="O76" s="2">
        <f t="shared" si="4"/>
        <v>48.775000000000006</v>
      </c>
      <c r="P76" s="2">
        <f t="shared" si="5"/>
        <v>60.370912640312355</v>
      </c>
      <c r="Q76" s="2">
        <f t="shared" si="6"/>
        <v>9.9560761346998543</v>
      </c>
      <c r="R76" s="2">
        <f t="shared" si="7"/>
        <v>29.6730112249878</v>
      </c>
      <c r="S76" s="22"/>
      <c r="T76" s="22"/>
      <c r="U76" s="22"/>
      <c r="V76" s="22"/>
      <c r="W76" s="22"/>
      <c r="X76" s="22"/>
      <c r="Y76" s="22"/>
      <c r="Z76" s="2"/>
      <c r="AA76" s="2"/>
      <c r="AC76" t="s">
        <v>85</v>
      </c>
      <c r="AD76" t="s">
        <v>85</v>
      </c>
    </row>
    <row r="77" spans="1:31" x14ac:dyDescent="0.35">
      <c r="A77" t="s">
        <v>65</v>
      </c>
      <c r="B77" s="19">
        <v>15</v>
      </c>
      <c r="C77" s="19" t="s">
        <v>126</v>
      </c>
      <c r="D77" s="19">
        <v>3</v>
      </c>
      <c r="E77" s="19" t="s">
        <v>126</v>
      </c>
      <c r="F77">
        <v>336</v>
      </c>
      <c r="G77" s="2">
        <v>10.539</v>
      </c>
      <c r="H77" s="4" t="s">
        <v>63</v>
      </c>
      <c r="I77" s="4" t="s">
        <v>61</v>
      </c>
      <c r="J77" s="19">
        <v>5</v>
      </c>
      <c r="K77" s="19">
        <v>7</v>
      </c>
      <c r="L77" s="8">
        <v>30.925000000000001</v>
      </c>
      <c r="M77" s="2">
        <v>5.0999999999999996</v>
      </c>
      <c r="N77" s="2">
        <v>15.2</v>
      </c>
      <c r="O77" s="2">
        <f t="shared" si="4"/>
        <v>48.775000000000006</v>
      </c>
      <c r="P77" s="2">
        <f t="shared" si="5"/>
        <v>60.370912640312355</v>
      </c>
      <c r="Q77" s="2">
        <f t="shared" si="6"/>
        <v>9.9560761346998543</v>
      </c>
      <c r="R77" s="2">
        <f t="shared" si="7"/>
        <v>29.6730112249878</v>
      </c>
      <c r="S77" s="22"/>
      <c r="T77" s="22"/>
      <c r="U77" s="22"/>
      <c r="V77" s="22"/>
      <c r="W77" s="22"/>
      <c r="X77" s="22"/>
      <c r="Y77" s="22"/>
      <c r="Z77" s="2"/>
      <c r="AA77" s="2"/>
      <c r="AC77" t="s">
        <v>85</v>
      </c>
      <c r="AD77" t="s">
        <v>85</v>
      </c>
    </row>
    <row r="78" spans="1:31" x14ac:dyDescent="0.35">
      <c r="A78" t="s">
        <v>5</v>
      </c>
      <c r="B78" s="21">
        <v>1</v>
      </c>
      <c r="C78" s="21" t="s">
        <v>127</v>
      </c>
      <c r="D78" s="21">
        <v>4</v>
      </c>
      <c r="E78" s="19" t="s">
        <v>127</v>
      </c>
      <c r="F78">
        <v>79</v>
      </c>
      <c r="G78" s="2">
        <v>1.3129999999999999</v>
      </c>
      <c r="H78" s="14" t="s">
        <v>66</v>
      </c>
      <c r="I78" s="4" t="s">
        <v>19</v>
      </c>
      <c r="J78" s="19">
        <v>1</v>
      </c>
      <c r="K78" s="19">
        <v>7</v>
      </c>
      <c r="L78" s="8">
        <v>14.3</v>
      </c>
      <c r="M78" s="2">
        <v>23.3</v>
      </c>
      <c r="N78" s="2">
        <v>12.1</v>
      </c>
      <c r="O78" s="2">
        <f t="shared" si="4"/>
        <v>50.300000000000004</v>
      </c>
      <c r="P78" s="2">
        <f t="shared" si="5"/>
        <v>28.772635814889334</v>
      </c>
      <c r="Q78" s="2">
        <f t="shared" si="6"/>
        <v>46.881287726358146</v>
      </c>
      <c r="R78" s="2">
        <f t="shared" si="7"/>
        <v>24.346076458752513</v>
      </c>
      <c r="S78" s="22">
        <v>1.1074713717933564</v>
      </c>
      <c r="T78" s="22">
        <v>0.16421956462570686</v>
      </c>
      <c r="U78" s="22">
        <v>2.9736248061027375</v>
      </c>
      <c r="V78" s="22">
        <v>0.43824295860615725</v>
      </c>
      <c r="W78" s="22">
        <v>1.6829898863811874</v>
      </c>
      <c r="X78" s="22">
        <v>6.3665485875091443</v>
      </c>
      <c r="Y78" s="22">
        <v>64.47272718171952</v>
      </c>
      <c r="Z78" s="2"/>
      <c r="AA78" s="2"/>
      <c r="AC78" t="s">
        <v>85</v>
      </c>
      <c r="AD78" t="s">
        <v>85</v>
      </c>
    </row>
    <row r="79" spans="1:31" x14ac:dyDescent="0.35">
      <c r="A79" t="s">
        <v>5</v>
      </c>
      <c r="B79" s="21">
        <v>2</v>
      </c>
      <c r="C79" s="21" t="s">
        <v>127</v>
      </c>
      <c r="D79" s="21">
        <v>4</v>
      </c>
      <c r="E79" s="19" t="s">
        <v>127</v>
      </c>
      <c r="F79">
        <v>39</v>
      </c>
      <c r="G79" s="2">
        <v>0.95</v>
      </c>
      <c r="H79" s="14" t="s">
        <v>66</v>
      </c>
      <c r="I79" s="4" t="s">
        <v>19</v>
      </c>
      <c r="J79" s="19">
        <v>2</v>
      </c>
      <c r="K79" s="19">
        <v>7</v>
      </c>
      <c r="L79" s="8">
        <v>14.3</v>
      </c>
      <c r="M79" s="2">
        <v>23.3</v>
      </c>
      <c r="N79" s="2">
        <v>12.1</v>
      </c>
      <c r="O79" s="2">
        <f t="shared" si="4"/>
        <v>50.300000000000004</v>
      </c>
      <c r="P79" s="2">
        <f t="shared" si="5"/>
        <v>28.772635814889334</v>
      </c>
      <c r="Q79" s="2">
        <f t="shared" si="6"/>
        <v>46.881287726358146</v>
      </c>
      <c r="R79" s="2">
        <f t="shared" si="7"/>
        <v>24.346076458752513</v>
      </c>
      <c r="S79" s="22">
        <v>1.1053994118685413</v>
      </c>
      <c r="T79" s="22">
        <v>8.9443595511301849E-2</v>
      </c>
      <c r="U79" s="22">
        <v>2.0642728787971607</v>
      </c>
      <c r="V79" s="22">
        <v>0.31307476749148205</v>
      </c>
      <c r="W79" s="22">
        <v>1.7521255504938398</v>
      </c>
      <c r="X79" s="22">
        <v>5.3243162041623258</v>
      </c>
      <c r="Y79" s="22">
        <v>65.88601775738077</v>
      </c>
      <c r="Z79" s="2"/>
      <c r="AA79" s="2"/>
      <c r="AC79" t="s">
        <v>85</v>
      </c>
      <c r="AD79" t="s">
        <v>85</v>
      </c>
    </row>
    <row r="80" spans="1:31" x14ac:dyDescent="0.35">
      <c r="A80" t="s">
        <v>5</v>
      </c>
      <c r="B80" s="21">
        <v>3</v>
      </c>
      <c r="C80" s="21" t="s">
        <v>127</v>
      </c>
      <c r="D80" s="21">
        <v>4</v>
      </c>
      <c r="E80" s="19" t="s">
        <v>127</v>
      </c>
      <c r="F80">
        <v>61</v>
      </c>
      <c r="G80" s="2">
        <v>1.7270000000000001</v>
      </c>
      <c r="H80" s="14" t="s">
        <v>66</v>
      </c>
      <c r="I80" s="4" t="s">
        <v>19</v>
      </c>
      <c r="J80" s="19">
        <v>3</v>
      </c>
      <c r="K80" s="19">
        <v>7</v>
      </c>
      <c r="L80" s="8">
        <v>14.3</v>
      </c>
      <c r="M80" s="2">
        <v>23.3</v>
      </c>
      <c r="N80" s="2">
        <v>12.1</v>
      </c>
      <c r="O80" s="2">
        <f t="shared" si="4"/>
        <v>50.300000000000004</v>
      </c>
      <c r="P80" s="2">
        <f t="shared" si="5"/>
        <v>28.772635814889334</v>
      </c>
      <c r="Q80" s="2">
        <f t="shared" si="6"/>
        <v>46.881287726358146</v>
      </c>
      <c r="R80" s="2">
        <f t="shared" si="7"/>
        <v>24.346076458752513</v>
      </c>
      <c r="S80" s="22">
        <v>1.2691612012947779</v>
      </c>
      <c r="T80" s="22">
        <v>0.12269447152468238</v>
      </c>
      <c r="U80" s="22">
        <v>2.4829262312682139</v>
      </c>
      <c r="V80" s="22">
        <v>0.34698324019646937</v>
      </c>
      <c r="W80" s="22">
        <v>1.4335719573227392</v>
      </c>
      <c r="X80" s="22">
        <v>5.6553371016068823</v>
      </c>
      <c r="Y80" s="22">
        <v>66.348499610299783</v>
      </c>
      <c r="Z80" s="2"/>
      <c r="AA80" s="2"/>
      <c r="AC80" t="s">
        <v>85</v>
      </c>
      <c r="AD80" t="s">
        <v>85</v>
      </c>
    </row>
    <row r="81" spans="1:30" x14ac:dyDescent="0.35">
      <c r="A81" t="s">
        <v>5</v>
      </c>
      <c r="B81" s="21">
        <v>4</v>
      </c>
      <c r="C81" s="21" t="s">
        <v>127</v>
      </c>
      <c r="D81" s="21">
        <v>4</v>
      </c>
      <c r="E81" s="19" t="s">
        <v>127</v>
      </c>
      <c r="F81">
        <v>128</v>
      </c>
      <c r="G81" s="2">
        <v>1.881</v>
      </c>
      <c r="H81" s="14" t="s">
        <v>66</v>
      </c>
      <c r="I81" s="4" t="s">
        <v>19</v>
      </c>
      <c r="J81" s="19">
        <v>4</v>
      </c>
      <c r="K81" s="19">
        <v>7</v>
      </c>
      <c r="L81" s="8">
        <v>14.3</v>
      </c>
      <c r="M81" s="2">
        <v>23.3</v>
      </c>
      <c r="N81" s="2">
        <v>12.1</v>
      </c>
      <c r="O81" s="2">
        <f t="shared" si="4"/>
        <v>50.300000000000004</v>
      </c>
      <c r="P81" s="2">
        <f t="shared" si="5"/>
        <v>28.772635814889334</v>
      </c>
      <c r="Q81" s="2">
        <f t="shared" si="6"/>
        <v>46.881287726358146</v>
      </c>
      <c r="R81" s="2">
        <f t="shared" si="7"/>
        <v>24.346076458752513</v>
      </c>
      <c r="S81" s="22"/>
      <c r="T81" s="22"/>
      <c r="U81" s="22"/>
      <c r="V81" s="22"/>
      <c r="W81" s="22"/>
      <c r="X81" s="22"/>
      <c r="Y81" s="22"/>
      <c r="Z81" s="2"/>
      <c r="AA81" s="2"/>
      <c r="AC81" t="s">
        <v>85</v>
      </c>
      <c r="AD81" t="s">
        <v>85</v>
      </c>
    </row>
    <row r="82" spans="1:30" x14ac:dyDescent="0.35">
      <c r="A82" t="s">
        <v>5</v>
      </c>
      <c r="B82" s="21">
        <v>5</v>
      </c>
      <c r="C82" s="21" t="s">
        <v>127</v>
      </c>
      <c r="D82" s="21">
        <v>4</v>
      </c>
      <c r="E82" s="19" t="s">
        <v>127</v>
      </c>
      <c r="F82">
        <v>52</v>
      </c>
      <c r="G82" s="2">
        <v>2.7330000000000001</v>
      </c>
      <c r="H82" s="14" t="s">
        <v>66</v>
      </c>
      <c r="I82" s="4" t="s">
        <v>19</v>
      </c>
      <c r="J82" s="19">
        <v>5</v>
      </c>
      <c r="K82" s="19">
        <v>7</v>
      </c>
      <c r="L82" s="8">
        <v>14.3</v>
      </c>
      <c r="M82" s="2">
        <v>23.3</v>
      </c>
      <c r="N82" s="2">
        <v>12.1</v>
      </c>
      <c r="O82" s="2">
        <f t="shared" si="4"/>
        <v>50.300000000000004</v>
      </c>
      <c r="P82" s="2">
        <f t="shared" si="5"/>
        <v>28.772635814889334</v>
      </c>
      <c r="Q82" s="2">
        <f t="shared" si="6"/>
        <v>46.881287726358146</v>
      </c>
      <c r="R82" s="2">
        <f t="shared" si="7"/>
        <v>24.346076458752513</v>
      </c>
      <c r="S82" s="22"/>
      <c r="T82" s="22"/>
      <c r="U82" s="22"/>
      <c r="V82" s="22"/>
      <c r="W82" s="22"/>
      <c r="X82" s="22"/>
      <c r="Y82" s="22"/>
      <c r="Z82" s="2"/>
      <c r="AA82" s="2"/>
      <c r="AC82" t="s">
        <v>85</v>
      </c>
      <c r="AD82" t="s">
        <v>85</v>
      </c>
    </row>
    <row r="83" spans="1:30" x14ac:dyDescent="0.35">
      <c r="A83" t="s">
        <v>6</v>
      </c>
      <c r="B83" s="19">
        <v>1</v>
      </c>
      <c r="C83" s="21" t="s">
        <v>127</v>
      </c>
      <c r="D83" s="21">
        <v>4</v>
      </c>
      <c r="E83" s="19" t="s">
        <v>127</v>
      </c>
      <c r="F83">
        <v>39</v>
      </c>
      <c r="G83" s="2">
        <v>3.077</v>
      </c>
      <c r="H83" s="14" t="s">
        <v>66</v>
      </c>
      <c r="I83" s="4" t="s">
        <v>20</v>
      </c>
      <c r="J83" s="19">
        <v>1</v>
      </c>
      <c r="K83" s="19">
        <v>7</v>
      </c>
      <c r="L83" s="8">
        <v>86</v>
      </c>
      <c r="M83" s="2">
        <v>0.3</v>
      </c>
      <c r="N83" s="2">
        <v>8.1</v>
      </c>
      <c r="O83" s="2">
        <f t="shared" si="4"/>
        <v>5.6</v>
      </c>
      <c r="P83" s="2">
        <f t="shared" si="5"/>
        <v>91.101694915254257</v>
      </c>
      <c r="Q83" s="2">
        <f t="shared" si="6"/>
        <v>0.31779661016949157</v>
      </c>
      <c r="R83" s="2">
        <f t="shared" si="7"/>
        <v>8.5805084745762716</v>
      </c>
      <c r="S83" s="22">
        <v>0.43700724197219037</v>
      </c>
      <c r="T83" s="22">
        <v>0.13494714448440445</v>
      </c>
      <c r="U83" s="22">
        <v>3.8080898655808015</v>
      </c>
      <c r="V83" s="22">
        <v>0.88018177985110946</v>
      </c>
      <c r="W83" s="22">
        <v>5.447993391802964E-2</v>
      </c>
      <c r="X83" s="22">
        <v>5.3147059658065352</v>
      </c>
      <c r="Y83" s="22">
        <v>47.789401222589696</v>
      </c>
      <c r="Z83" s="2"/>
      <c r="AA83" s="2"/>
      <c r="AC83" t="s">
        <v>85</v>
      </c>
      <c r="AD83" t="s">
        <v>85</v>
      </c>
    </row>
    <row r="84" spans="1:30" x14ac:dyDescent="0.35">
      <c r="A84" t="s">
        <v>6</v>
      </c>
      <c r="B84" s="19">
        <v>2</v>
      </c>
      <c r="C84" s="21" t="s">
        <v>127</v>
      </c>
      <c r="D84" s="21">
        <v>4</v>
      </c>
      <c r="E84" s="19" t="s">
        <v>127</v>
      </c>
      <c r="F84">
        <v>39</v>
      </c>
      <c r="G84" s="2">
        <v>5.0110000000000001</v>
      </c>
      <c r="H84" s="14" t="s">
        <v>66</v>
      </c>
      <c r="I84" s="4" t="s">
        <v>20</v>
      </c>
      <c r="J84" s="19">
        <v>2</v>
      </c>
      <c r="K84" s="19">
        <v>7</v>
      </c>
      <c r="L84" s="8">
        <v>86</v>
      </c>
      <c r="M84" s="2">
        <v>0.3</v>
      </c>
      <c r="N84" s="2">
        <v>8.1</v>
      </c>
      <c r="O84" s="2">
        <f t="shared" si="4"/>
        <v>5.6</v>
      </c>
      <c r="P84" s="2">
        <f t="shared" si="5"/>
        <v>91.101694915254257</v>
      </c>
      <c r="Q84" s="2">
        <f t="shared" si="6"/>
        <v>0.31779661016949157</v>
      </c>
      <c r="R84" s="2">
        <f t="shared" si="7"/>
        <v>8.5805084745762716</v>
      </c>
      <c r="S84" s="22">
        <v>0.46159707895338192</v>
      </c>
      <c r="T84" s="22">
        <v>0.11259595727385048</v>
      </c>
      <c r="U84" s="22">
        <v>3.1837469863722894</v>
      </c>
      <c r="V84" s="22">
        <v>0.67585732819677813</v>
      </c>
      <c r="W84" s="22">
        <v>8.7154902586264224E-2</v>
      </c>
      <c r="X84" s="22">
        <v>4.5209522533825641</v>
      </c>
      <c r="Y84" s="22">
        <v>49.540345812202915</v>
      </c>
      <c r="Z84" s="2"/>
      <c r="AA84" s="2"/>
      <c r="AC84" t="s">
        <v>85</v>
      </c>
      <c r="AD84" t="s">
        <v>85</v>
      </c>
    </row>
    <row r="85" spans="1:30" x14ac:dyDescent="0.35">
      <c r="A85" t="s">
        <v>6</v>
      </c>
      <c r="B85" s="19">
        <v>3</v>
      </c>
      <c r="C85" s="21" t="s">
        <v>127</v>
      </c>
      <c r="D85" s="21">
        <v>4</v>
      </c>
      <c r="E85" s="19" t="s">
        <v>127</v>
      </c>
      <c r="F85">
        <v>41</v>
      </c>
      <c r="G85" s="2">
        <v>3.677</v>
      </c>
      <c r="H85" s="14" t="s">
        <v>66</v>
      </c>
      <c r="I85" s="4" t="s">
        <v>20</v>
      </c>
      <c r="J85" s="19">
        <v>3</v>
      </c>
      <c r="K85" s="19">
        <v>7</v>
      </c>
      <c r="L85" s="8">
        <v>86</v>
      </c>
      <c r="M85" s="2">
        <v>0.3</v>
      </c>
      <c r="N85" s="2">
        <v>8.1</v>
      </c>
      <c r="O85" s="2">
        <f t="shared" si="4"/>
        <v>5.6</v>
      </c>
      <c r="P85" s="2">
        <f t="shared" si="5"/>
        <v>91.101694915254257</v>
      </c>
      <c r="Q85" s="2">
        <f t="shared" si="6"/>
        <v>0.31779661016949157</v>
      </c>
      <c r="R85" s="2">
        <f t="shared" si="7"/>
        <v>8.5805084745762716</v>
      </c>
      <c r="S85" s="22">
        <v>0.44798858403807984</v>
      </c>
      <c r="T85" s="22">
        <v>0.12139165932090634</v>
      </c>
      <c r="U85" s="22">
        <v>2.5424273274357665</v>
      </c>
      <c r="V85" s="22">
        <v>0.63551778587352525</v>
      </c>
      <c r="W85" s="22">
        <v>5.192166451873001E-2</v>
      </c>
      <c r="X85" s="22">
        <v>3.799247021187008</v>
      </c>
      <c r="Y85" s="22">
        <v>40.672284267517881</v>
      </c>
      <c r="Z85" s="2"/>
      <c r="AA85" s="2"/>
      <c r="AC85" t="s">
        <v>85</v>
      </c>
      <c r="AD85" t="s">
        <v>85</v>
      </c>
    </row>
    <row r="86" spans="1:30" x14ac:dyDescent="0.35">
      <c r="A86" t="s">
        <v>6</v>
      </c>
      <c r="B86" s="19">
        <v>4</v>
      </c>
      <c r="C86" s="21" t="s">
        <v>127</v>
      </c>
      <c r="D86" s="21">
        <v>4</v>
      </c>
      <c r="E86" s="19" t="s">
        <v>127</v>
      </c>
      <c r="F86">
        <v>11</v>
      </c>
      <c r="G86" s="2">
        <v>0.48199999999999998</v>
      </c>
      <c r="H86" s="14" t="s">
        <v>66</v>
      </c>
      <c r="I86" s="4" t="s">
        <v>20</v>
      </c>
      <c r="J86" s="19">
        <v>4</v>
      </c>
      <c r="K86" s="19">
        <v>7</v>
      </c>
      <c r="L86" s="8">
        <v>86</v>
      </c>
      <c r="M86" s="2">
        <v>0.3</v>
      </c>
      <c r="N86" s="2">
        <v>8.1</v>
      </c>
      <c r="O86" s="2">
        <f t="shared" si="4"/>
        <v>5.6</v>
      </c>
      <c r="P86" s="2">
        <f t="shared" si="5"/>
        <v>91.101694915254257</v>
      </c>
      <c r="Q86" s="2">
        <f t="shared" si="6"/>
        <v>0.31779661016949157</v>
      </c>
      <c r="R86" s="2">
        <f t="shared" si="7"/>
        <v>8.5805084745762716</v>
      </c>
      <c r="S86" s="22"/>
      <c r="T86" s="22"/>
      <c r="U86" s="22"/>
      <c r="V86" s="22"/>
      <c r="W86" s="22"/>
      <c r="X86" s="22"/>
      <c r="Y86" s="22"/>
      <c r="Z86" s="2"/>
      <c r="AA86" s="2"/>
      <c r="AC86" t="s">
        <v>85</v>
      </c>
      <c r="AD86" t="s">
        <v>85</v>
      </c>
    </row>
    <row r="87" spans="1:30" x14ac:dyDescent="0.35">
      <c r="A87" t="s">
        <v>6</v>
      </c>
      <c r="B87" s="19">
        <v>5</v>
      </c>
      <c r="C87" s="21" t="s">
        <v>127</v>
      </c>
      <c r="D87" s="21">
        <v>4</v>
      </c>
      <c r="E87" s="19" t="s">
        <v>127</v>
      </c>
      <c r="F87">
        <v>95</v>
      </c>
      <c r="G87" s="2">
        <v>2.665</v>
      </c>
      <c r="H87" s="14" t="s">
        <v>66</v>
      </c>
      <c r="I87" s="4" t="s">
        <v>20</v>
      </c>
      <c r="J87" s="19">
        <v>5</v>
      </c>
      <c r="K87" s="19">
        <v>7</v>
      </c>
      <c r="L87" s="8">
        <v>86</v>
      </c>
      <c r="M87" s="2">
        <v>0.3</v>
      </c>
      <c r="N87" s="2">
        <v>8.1</v>
      </c>
      <c r="O87" s="2">
        <f t="shared" si="4"/>
        <v>5.6</v>
      </c>
      <c r="P87" s="2">
        <f t="shared" si="5"/>
        <v>91.101694915254257</v>
      </c>
      <c r="Q87" s="2">
        <f t="shared" si="6"/>
        <v>0.31779661016949157</v>
      </c>
      <c r="R87" s="2">
        <f t="shared" si="7"/>
        <v>8.5805084745762716</v>
      </c>
      <c r="S87" s="22"/>
      <c r="T87" s="22"/>
      <c r="U87" s="22"/>
      <c r="V87" s="22"/>
      <c r="W87" s="22"/>
      <c r="X87" s="22"/>
      <c r="Y87" s="22"/>
      <c r="Z87" s="2"/>
      <c r="AA87" s="2"/>
      <c r="AC87" t="s">
        <v>85</v>
      </c>
      <c r="AD87" t="s">
        <v>85</v>
      </c>
    </row>
    <row r="88" spans="1:30" x14ac:dyDescent="0.35">
      <c r="A88" t="s">
        <v>149</v>
      </c>
      <c r="B88" s="21">
        <v>1</v>
      </c>
      <c r="C88" s="21" t="s">
        <v>127</v>
      </c>
      <c r="D88" s="21">
        <v>4</v>
      </c>
      <c r="E88" s="19" t="s">
        <v>127</v>
      </c>
      <c r="F88">
        <v>70</v>
      </c>
      <c r="G88" s="2">
        <v>1.9450000000000001</v>
      </c>
      <c r="H88" s="14" t="s">
        <v>66</v>
      </c>
      <c r="I88" s="4" t="s">
        <v>19</v>
      </c>
      <c r="J88" s="21">
        <v>1</v>
      </c>
      <c r="K88" s="21">
        <v>7</v>
      </c>
      <c r="L88" s="8">
        <v>14.0875</v>
      </c>
      <c r="M88" s="2">
        <v>12.53560206521</v>
      </c>
      <c r="N88" s="2">
        <v>50</v>
      </c>
      <c r="O88" s="2">
        <f t="shared" ref="O88:O112" si="8">100-L88-M88-N88</f>
        <v>23.376897934789994</v>
      </c>
      <c r="P88" s="2">
        <f t="shared" ref="P88:P112" si="9">(L88/(SUM(L88:N88))*100)</f>
        <v>18.385447234974713</v>
      </c>
      <c r="Q88" s="2">
        <f t="shared" ref="Q88:Q112" si="10">(M88/(SUM(L88:N88))*100)</f>
        <v>16.360081655975755</v>
      </c>
      <c r="R88" s="2">
        <f t="shared" ref="R88:R112" si="11">(N88/(SUM(L88:N88))*100)</f>
        <v>65.254471109049547</v>
      </c>
      <c r="S88" s="22">
        <v>1.1077013686471262</v>
      </c>
      <c r="T88" s="22">
        <v>8.5478659896441031E-2</v>
      </c>
      <c r="U88" s="22">
        <v>2.3243875718617404</v>
      </c>
      <c r="V88" s="22">
        <v>0.32298174342510655</v>
      </c>
      <c r="W88" s="22">
        <v>0.91126379668727508</v>
      </c>
      <c r="X88" s="22">
        <v>4.7518131405176893</v>
      </c>
      <c r="Y88" s="22">
        <v>39.453025951810226</v>
      </c>
      <c r="Z88" s="2"/>
      <c r="AA88" s="2"/>
      <c r="AC88" t="s">
        <v>85</v>
      </c>
      <c r="AD88" t="s">
        <v>85</v>
      </c>
    </row>
    <row r="89" spans="1:30" x14ac:dyDescent="0.35">
      <c r="A89" t="s">
        <v>149</v>
      </c>
      <c r="B89" s="21">
        <v>2</v>
      </c>
      <c r="C89" s="21" t="s">
        <v>127</v>
      </c>
      <c r="D89" s="21">
        <v>4</v>
      </c>
      <c r="E89" s="19" t="s">
        <v>127</v>
      </c>
      <c r="F89">
        <v>72</v>
      </c>
      <c r="G89" s="2">
        <v>2.99</v>
      </c>
      <c r="H89" s="14" t="s">
        <v>66</v>
      </c>
      <c r="I89" s="4" t="s">
        <v>19</v>
      </c>
      <c r="J89" s="21">
        <v>2</v>
      </c>
      <c r="K89" s="21">
        <v>7</v>
      </c>
      <c r="L89" s="8">
        <v>14.0875</v>
      </c>
      <c r="M89" s="2">
        <v>12.53560206521</v>
      </c>
      <c r="N89" s="2">
        <v>50</v>
      </c>
      <c r="O89" s="2">
        <f t="shared" si="8"/>
        <v>23.376897934789994</v>
      </c>
      <c r="P89" s="2">
        <f t="shared" si="9"/>
        <v>18.385447234974713</v>
      </c>
      <c r="Q89" s="2">
        <f t="shared" si="10"/>
        <v>16.360081655975755</v>
      </c>
      <c r="R89" s="2">
        <f t="shared" si="11"/>
        <v>65.254471109049547</v>
      </c>
      <c r="S89" s="22">
        <v>0.9720887277521707</v>
      </c>
      <c r="T89" s="22">
        <v>0.13836083708528632</v>
      </c>
      <c r="U89" s="22">
        <v>2.0478117008203971</v>
      </c>
      <c r="V89" s="22">
        <v>0.3098953551600318</v>
      </c>
      <c r="W89" s="22">
        <v>0.71065822992600691</v>
      </c>
      <c r="X89" s="22">
        <v>4.1788148507438931</v>
      </c>
      <c r="Y89" s="22">
        <v>32.9989747745988</v>
      </c>
      <c r="Z89" s="2"/>
      <c r="AA89" s="2"/>
      <c r="AC89" t="s">
        <v>85</v>
      </c>
      <c r="AD89" t="s">
        <v>85</v>
      </c>
    </row>
    <row r="90" spans="1:30" x14ac:dyDescent="0.35">
      <c r="A90" t="s">
        <v>149</v>
      </c>
      <c r="B90" s="21">
        <v>3</v>
      </c>
      <c r="C90" s="21" t="s">
        <v>127</v>
      </c>
      <c r="D90" s="21">
        <v>4</v>
      </c>
      <c r="E90" s="19" t="s">
        <v>127</v>
      </c>
      <c r="F90">
        <v>165</v>
      </c>
      <c r="G90" s="2">
        <v>6.351</v>
      </c>
      <c r="H90" s="14" t="s">
        <v>66</v>
      </c>
      <c r="I90" s="4" t="s">
        <v>19</v>
      </c>
      <c r="J90" s="21">
        <v>3</v>
      </c>
      <c r="K90" s="21">
        <v>7</v>
      </c>
      <c r="L90" s="8">
        <v>14.0875</v>
      </c>
      <c r="M90" s="2">
        <v>12.53560206521</v>
      </c>
      <c r="N90" s="2">
        <v>50</v>
      </c>
      <c r="O90" s="2">
        <f t="shared" si="8"/>
        <v>23.376897934789994</v>
      </c>
      <c r="P90" s="2">
        <f t="shared" si="9"/>
        <v>18.385447234974713</v>
      </c>
      <c r="Q90" s="2">
        <f t="shared" si="10"/>
        <v>16.360081655975755</v>
      </c>
      <c r="R90" s="2">
        <f t="shared" si="11"/>
        <v>65.254471109049547</v>
      </c>
      <c r="S90" s="22">
        <v>1.0007635611394312</v>
      </c>
      <c r="T90" s="22">
        <v>0.13879144790625084</v>
      </c>
      <c r="U90" s="22">
        <v>2.2248483151884653</v>
      </c>
      <c r="V90" s="22">
        <v>0.30613940163412873</v>
      </c>
      <c r="W90" s="22">
        <v>0.57352415445961547</v>
      </c>
      <c r="X90" s="22">
        <v>4.2440668803278916</v>
      </c>
      <c r="Y90" s="22">
        <v>28.372198469372098</v>
      </c>
      <c r="Z90" s="2"/>
      <c r="AA90" s="2"/>
      <c r="AC90" t="s">
        <v>85</v>
      </c>
      <c r="AD90" t="s">
        <v>85</v>
      </c>
    </row>
    <row r="91" spans="1:30" x14ac:dyDescent="0.35">
      <c r="A91" t="s">
        <v>149</v>
      </c>
      <c r="B91" s="21">
        <v>4</v>
      </c>
      <c r="C91" s="21" t="s">
        <v>127</v>
      </c>
      <c r="D91" s="21">
        <v>4</v>
      </c>
      <c r="E91" s="19" t="s">
        <v>127</v>
      </c>
      <c r="F91">
        <v>86</v>
      </c>
      <c r="G91" s="2">
        <v>2.629</v>
      </c>
      <c r="H91" s="14" t="s">
        <v>66</v>
      </c>
      <c r="I91" s="4" t="s">
        <v>19</v>
      </c>
      <c r="J91" s="21">
        <v>4</v>
      </c>
      <c r="K91" s="21">
        <v>7</v>
      </c>
      <c r="L91" s="8">
        <v>14.0875</v>
      </c>
      <c r="M91" s="2">
        <v>12.53560206521</v>
      </c>
      <c r="N91" s="2">
        <v>50</v>
      </c>
      <c r="O91" s="2">
        <f t="shared" si="8"/>
        <v>23.376897934789994</v>
      </c>
      <c r="P91" s="2">
        <f t="shared" si="9"/>
        <v>18.385447234974713</v>
      </c>
      <c r="Q91" s="2">
        <f t="shared" si="10"/>
        <v>16.360081655975755</v>
      </c>
      <c r="R91" s="2">
        <f t="shared" si="11"/>
        <v>65.254471109049547</v>
      </c>
      <c r="S91" s="22"/>
      <c r="T91" s="22"/>
      <c r="U91" s="22"/>
      <c r="V91" s="22"/>
      <c r="W91" s="22"/>
      <c r="X91" s="22"/>
      <c r="Y91" s="22"/>
      <c r="Z91" s="2"/>
      <c r="AA91" s="2"/>
      <c r="AC91" t="s">
        <v>85</v>
      </c>
      <c r="AD91" t="s">
        <v>85</v>
      </c>
    </row>
    <row r="92" spans="1:30" x14ac:dyDescent="0.35">
      <c r="A92" t="s">
        <v>149</v>
      </c>
      <c r="B92" s="21">
        <v>5</v>
      </c>
      <c r="C92" s="21" t="s">
        <v>127</v>
      </c>
      <c r="D92" s="21">
        <v>4</v>
      </c>
      <c r="E92" s="19" t="s">
        <v>127</v>
      </c>
      <c r="F92">
        <v>87</v>
      </c>
      <c r="G92" s="2">
        <v>1.9330000000000001</v>
      </c>
      <c r="H92" s="14" t="s">
        <v>66</v>
      </c>
      <c r="I92" s="4" t="s">
        <v>19</v>
      </c>
      <c r="J92" s="21">
        <v>5</v>
      </c>
      <c r="K92" s="21">
        <v>7</v>
      </c>
      <c r="L92" s="8">
        <v>14.0875</v>
      </c>
      <c r="M92" s="2">
        <v>12.53560206521</v>
      </c>
      <c r="N92" s="2">
        <v>50</v>
      </c>
      <c r="O92" s="2">
        <f t="shared" si="8"/>
        <v>23.376897934789994</v>
      </c>
      <c r="P92" s="2">
        <f t="shared" si="9"/>
        <v>18.385447234974713</v>
      </c>
      <c r="Q92" s="2">
        <f t="shared" si="10"/>
        <v>16.360081655975755</v>
      </c>
      <c r="R92" s="2">
        <f t="shared" si="11"/>
        <v>65.254471109049547</v>
      </c>
      <c r="S92" s="22"/>
      <c r="T92" s="22"/>
      <c r="U92" s="22"/>
      <c r="V92" s="22"/>
      <c r="W92" s="22"/>
      <c r="X92" s="22"/>
      <c r="Y92" s="22"/>
      <c r="Z92" s="2"/>
      <c r="AA92" s="2"/>
      <c r="AC92" t="s">
        <v>85</v>
      </c>
      <c r="AD92" t="s">
        <v>85</v>
      </c>
    </row>
    <row r="93" spans="1:30" x14ac:dyDescent="0.35">
      <c r="A93" s="9" t="s">
        <v>146</v>
      </c>
      <c r="B93" s="21">
        <v>1</v>
      </c>
      <c r="C93" s="21" t="s">
        <v>127</v>
      </c>
      <c r="D93" s="21">
        <v>4</v>
      </c>
      <c r="E93" s="19" t="s">
        <v>127</v>
      </c>
      <c r="F93">
        <v>226</v>
      </c>
      <c r="G93" s="2">
        <v>7.1159999999999997</v>
      </c>
      <c r="H93" s="14" t="s">
        <v>66</v>
      </c>
      <c r="I93" s="4" t="s">
        <v>19</v>
      </c>
      <c r="J93" s="21">
        <v>1</v>
      </c>
      <c r="K93" s="21">
        <v>7</v>
      </c>
      <c r="L93" s="2">
        <v>47</v>
      </c>
      <c r="M93" s="2">
        <v>5</v>
      </c>
      <c r="N93" s="2">
        <v>40</v>
      </c>
      <c r="O93" s="2">
        <f t="shared" si="8"/>
        <v>8</v>
      </c>
      <c r="P93" s="2">
        <f t="shared" si="9"/>
        <v>51.086956521739133</v>
      </c>
      <c r="Q93" s="2">
        <f t="shared" si="10"/>
        <v>5.4347826086956523</v>
      </c>
      <c r="R93" s="2">
        <f t="shared" si="11"/>
        <v>43.478260869565219</v>
      </c>
      <c r="S93" s="22">
        <v>0.54513149183175014</v>
      </c>
      <c r="T93" s="22">
        <v>0.12229191430088726</v>
      </c>
      <c r="U93" s="22">
        <v>2.5853071553087656</v>
      </c>
      <c r="V93" s="22">
        <v>0.49204160592715562</v>
      </c>
      <c r="W93" s="22">
        <v>0.14413922397123505</v>
      </c>
      <c r="X93" s="22">
        <v>3.8889113913397937</v>
      </c>
      <c r="Y93" s="22">
        <v>34.015045584176171</v>
      </c>
      <c r="Z93" s="2"/>
      <c r="AA93" s="2"/>
      <c r="AC93" t="s">
        <v>85</v>
      </c>
      <c r="AD93" t="s">
        <v>85</v>
      </c>
    </row>
    <row r="94" spans="1:30" x14ac:dyDescent="0.35">
      <c r="A94" s="9" t="s">
        <v>146</v>
      </c>
      <c r="B94" s="21">
        <v>2</v>
      </c>
      <c r="C94" s="21" t="s">
        <v>127</v>
      </c>
      <c r="D94" s="21">
        <v>4</v>
      </c>
      <c r="E94" s="19" t="s">
        <v>127</v>
      </c>
      <c r="F94">
        <v>34</v>
      </c>
      <c r="G94" s="2">
        <v>1.645</v>
      </c>
      <c r="H94" s="14" t="s">
        <v>66</v>
      </c>
      <c r="I94" s="4" t="s">
        <v>19</v>
      </c>
      <c r="J94" s="21">
        <v>2</v>
      </c>
      <c r="K94" s="21">
        <v>7</v>
      </c>
      <c r="L94" s="2">
        <v>47</v>
      </c>
      <c r="M94" s="2">
        <v>5</v>
      </c>
      <c r="N94" s="2">
        <v>40</v>
      </c>
      <c r="O94" s="2">
        <f t="shared" si="8"/>
        <v>8</v>
      </c>
      <c r="P94" s="2">
        <f t="shared" si="9"/>
        <v>51.086956521739133</v>
      </c>
      <c r="Q94" s="2">
        <f t="shared" si="10"/>
        <v>5.4347826086956523</v>
      </c>
      <c r="R94" s="2">
        <f t="shared" si="11"/>
        <v>43.478260869565219</v>
      </c>
      <c r="S94" s="22">
        <v>0.65097746615271923</v>
      </c>
      <c r="T94" s="22">
        <v>0.17347167568763702</v>
      </c>
      <c r="U94" s="22">
        <v>2.634101202755617</v>
      </c>
      <c r="V94" s="22">
        <v>0.56396993894833658</v>
      </c>
      <c r="W94" s="22">
        <v>4.9132725896248765E-2</v>
      </c>
      <c r="X94" s="22">
        <v>4.071653009440559</v>
      </c>
      <c r="Y94" s="22">
        <v>27.211456040590647</v>
      </c>
      <c r="Z94" s="2"/>
      <c r="AA94" s="2"/>
      <c r="AC94" t="s">
        <v>85</v>
      </c>
      <c r="AD94" t="s">
        <v>85</v>
      </c>
    </row>
    <row r="95" spans="1:30" x14ac:dyDescent="0.35">
      <c r="A95" s="9" t="s">
        <v>146</v>
      </c>
      <c r="B95" s="21">
        <v>3</v>
      </c>
      <c r="C95" s="21" t="s">
        <v>127</v>
      </c>
      <c r="D95" s="21">
        <v>4</v>
      </c>
      <c r="E95" s="19" t="s">
        <v>127</v>
      </c>
      <c r="F95">
        <v>48</v>
      </c>
      <c r="G95" s="2">
        <v>2.5289999999999999</v>
      </c>
      <c r="H95" s="14" t="s">
        <v>66</v>
      </c>
      <c r="I95" s="4" t="s">
        <v>19</v>
      </c>
      <c r="J95" s="21">
        <v>3</v>
      </c>
      <c r="K95" s="21">
        <v>7</v>
      </c>
      <c r="L95" s="2">
        <v>47</v>
      </c>
      <c r="M95" s="2">
        <v>5</v>
      </c>
      <c r="N95" s="2">
        <v>40</v>
      </c>
      <c r="O95" s="2">
        <f t="shared" si="8"/>
        <v>8</v>
      </c>
      <c r="P95" s="2">
        <f t="shared" si="9"/>
        <v>51.086956521739133</v>
      </c>
      <c r="Q95" s="2">
        <f t="shared" si="10"/>
        <v>5.4347826086956523</v>
      </c>
      <c r="R95" s="2">
        <f t="shared" si="11"/>
        <v>43.478260869565219</v>
      </c>
      <c r="S95" s="22">
        <v>0.58469844174446961</v>
      </c>
      <c r="T95" s="22">
        <v>0.10749311397367191</v>
      </c>
      <c r="U95" s="22">
        <v>2.2725680636636536</v>
      </c>
      <c r="V95" s="22">
        <v>0.47731123921174062</v>
      </c>
      <c r="W95" s="22">
        <v>3.610892702105592E-2</v>
      </c>
      <c r="X95" s="22">
        <v>3.4781797856145915</v>
      </c>
      <c r="Y95" s="22">
        <v>32.341990819538765</v>
      </c>
      <c r="Z95" s="2"/>
      <c r="AA95" s="2"/>
      <c r="AC95" t="s">
        <v>85</v>
      </c>
      <c r="AD95" t="s">
        <v>85</v>
      </c>
    </row>
    <row r="96" spans="1:30" x14ac:dyDescent="0.35">
      <c r="A96" s="9" t="s">
        <v>146</v>
      </c>
      <c r="B96" s="21">
        <v>4</v>
      </c>
      <c r="C96" s="21" t="s">
        <v>127</v>
      </c>
      <c r="D96" s="21">
        <v>4</v>
      </c>
      <c r="E96" s="19" t="s">
        <v>127</v>
      </c>
      <c r="F96">
        <v>76</v>
      </c>
      <c r="G96" s="2">
        <v>3.2589999999999999</v>
      </c>
      <c r="H96" s="14" t="s">
        <v>66</v>
      </c>
      <c r="I96" s="4" t="s">
        <v>19</v>
      </c>
      <c r="J96" s="21">
        <v>4</v>
      </c>
      <c r="K96" s="21">
        <v>7</v>
      </c>
      <c r="L96" s="2">
        <v>47</v>
      </c>
      <c r="M96" s="2">
        <v>5</v>
      </c>
      <c r="N96" s="2">
        <v>40</v>
      </c>
      <c r="O96" s="2">
        <f t="shared" si="8"/>
        <v>8</v>
      </c>
      <c r="P96" s="2">
        <f t="shared" si="9"/>
        <v>51.086956521739133</v>
      </c>
      <c r="Q96" s="2">
        <f t="shared" si="10"/>
        <v>5.4347826086956523</v>
      </c>
      <c r="R96" s="2">
        <f t="shared" si="11"/>
        <v>43.478260869565219</v>
      </c>
      <c r="S96" s="22"/>
      <c r="T96" s="22"/>
      <c r="U96" s="22"/>
      <c r="V96" s="22"/>
      <c r="W96" s="22"/>
      <c r="X96" s="22"/>
      <c r="Y96" s="22"/>
      <c r="Z96" s="2"/>
      <c r="AA96" s="2"/>
      <c r="AC96" t="s">
        <v>85</v>
      </c>
      <c r="AD96" t="s">
        <v>85</v>
      </c>
    </row>
    <row r="97" spans="1:30" x14ac:dyDescent="0.35">
      <c r="A97" s="9" t="s">
        <v>146</v>
      </c>
      <c r="B97" s="21">
        <v>5</v>
      </c>
      <c r="C97" s="21" t="s">
        <v>127</v>
      </c>
      <c r="D97" s="21">
        <v>4</v>
      </c>
      <c r="E97" s="19" t="s">
        <v>127</v>
      </c>
      <c r="F97">
        <v>60</v>
      </c>
      <c r="G97" s="2">
        <v>1.58</v>
      </c>
      <c r="H97" s="14" t="s">
        <v>66</v>
      </c>
      <c r="I97" s="4" t="s">
        <v>19</v>
      </c>
      <c r="J97" s="21">
        <v>5</v>
      </c>
      <c r="K97" s="21">
        <v>7</v>
      </c>
      <c r="L97" s="2">
        <v>47</v>
      </c>
      <c r="M97" s="2">
        <v>5</v>
      </c>
      <c r="N97" s="2">
        <v>40</v>
      </c>
      <c r="O97" s="2">
        <f t="shared" si="8"/>
        <v>8</v>
      </c>
      <c r="P97" s="2">
        <f t="shared" si="9"/>
        <v>51.086956521739133</v>
      </c>
      <c r="Q97" s="2">
        <f t="shared" si="10"/>
        <v>5.4347826086956523</v>
      </c>
      <c r="R97" s="2">
        <f t="shared" si="11"/>
        <v>43.478260869565219</v>
      </c>
      <c r="S97" s="22"/>
      <c r="T97" s="22"/>
      <c r="U97" s="22"/>
      <c r="V97" s="22"/>
      <c r="W97" s="22"/>
      <c r="X97" s="22"/>
      <c r="Y97" s="22"/>
      <c r="Z97" s="2"/>
      <c r="AA97" s="2"/>
      <c r="AC97" t="s">
        <v>85</v>
      </c>
      <c r="AD97" t="s">
        <v>85</v>
      </c>
    </row>
    <row r="98" spans="1:30" x14ac:dyDescent="0.35">
      <c r="A98" t="s">
        <v>74</v>
      </c>
      <c r="B98" s="19">
        <v>1</v>
      </c>
      <c r="C98" s="21" t="s">
        <v>127</v>
      </c>
      <c r="D98" s="21">
        <v>4</v>
      </c>
      <c r="E98" s="19" t="s">
        <v>127</v>
      </c>
      <c r="F98">
        <v>80</v>
      </c>
      <c r="G98" s="2">
        <v>11.395</v>
      </c>
      <c r="H98" s="14" t="s">
        <v>66</v>
      </c>
      <c r="I98" s="4" t="s">
        <v>20</v>
      </c>
      <c r="J98" s="21">
        <v>1</v>
      </c>
      <c r="K98" s="21">
        <v>7</v>
      </c>
      <c r="L98" s="8">
        <v>43.2</v>
      </c>
      <c r="M98" s="2">
        <v>1.5</v>
      </c>
      <c r="N98" s="2">
        <v>30</v>
      </c>
      <c r="O98" s="2">
        <f t="shared" si="8"/>
        <v>25.299999999999997</v>
      </c>
      <c r="P98" s="2">
        <f t="shared" si="9"/>
        <v>57.831325301204814</v>
      </c>
      <c r="Q98" s="2">
        <f t="shared" si="10"/>
        <v>2.0080321285140563</v>
      </c>
      <c r="R98" s="2">
        <f t="shared" si="11"/>
        <v>40.160642570281126</v>
      </c>
      <c r="S98" s="22">
        <v>0.19731136488039774</v>
      </c>
      <c r="T98" s="22">
        <v>8.0105791460873738E-2</v>
      </c>
      <c r="U98" s="22">
        <v>2.8215618156457927</v>
      </c>
      <c r="V98" s="22">
        <v>0.57909202856393793</v>
      </c>
      <c r="W98" s="22">
        <v>0.40014145373831655</v>
      </c>
      <c r="X98" s="22">
        <v>4.0782124542893188</v>
      </c>
      <c r="Y98" s="22">
        <v>27.396261729538814</v>
      </c>
      <c r="Z98" s="2"/>
      <c r="AA98" s="2"/>
      <c r="AC98" t="s">
        <v>85</v>
      </c>
      <c r="AD98" t="s">
        <v>85</v>
      </c>
    </row>
    <row r="99" spans="1:30" x14ac:dyDescent="0.35">
      <c r="A99" t="s">
        <v>74</v>
      </c>
      <c r="B99" s="19">
        <v>2</v>
      </c>
      <c r="C99" s="21" t="s">
        <v>127</v>
      </c>
      <c r="D99" s="21">
        <v>4</v>
      </c>
      <c r="E99" s="19" t="s">
        <v>127</v>
      </c>
      <c r="F99">
        <v>61</v>
      </c>
      <c r="G99" s="2">
        <v>5.8470000000000004</v>
      </c>
      <c r="H99" s="14" t="s">
        <v>66</v>
      </c>
      <c r="I99" s="4" t="s">
        <v>20</v>
      </c>
      <c r="J99" s="21">
        <v>2</v>
      </c>
      <c r="K99" s="21">
        <v>7</v>
      </c>
      <c r="L99" s="8">
        <v>43.2</v>
      </c>
      <c r="M99" s="2">
        <v>1.5</v>
      </c>
      <c r="N99" s="2">
        <v>30</v>
      </c>
      <c r="O99" s="2">
        <f t="shared" si="8"/>
        <v>25.299999999999997</v>
      </c>
      <c r="P99" s="2">
        <f t="shared" si="9"/>
        <v>57.831325301204814</v>
      </c>
      <c r="Q99" s="2">
        <f t="shared" si="10"/>
        <v>2.0080321285140563</v>
      </c>
      <c r="R99" s="2">
        <f>(N99/(SUM(L99:N99))*100)</f>
        <v>40.160642570281126</v>
      </c>
      <c r="S99" s="22">
        <v>0.22206658878432453</v>
      </c>
      <c r="T99" s="22">
        <v>9.87030201192617E-2</v>
      </c>
      <c r="U99" s="22">
        <v>3.1894384365589472</v>
      </c>
      <c r="V99" s="22">
        <v>0.64019026338349172</v>
      </c>
      <c r="W99" s="22">
        <v>0.30214012651969885</v>
      </c>
      <c r="X99" s="22">
        <v>4.4525384353657245</v>
      </c>
      <c r="Y99" s="22">
        <v>27.234883583372554</v>
      </c>
      <c r="Z99" s="2"/>
      <c r="AA99" s="2"/>
      <c r="AC99" t="s">
        <v>85</v>
      </c>
      <c r="AD99" t="s">
        <v>85</v>
      </c>
    </row>
    <row r="100" spans="1:30" x14ac:dyDescent="0.35">
      <c r="A100" t="s">
        <v>74</v>
      </c>
      <c r="B100" s="19">
        <v>3</v>
      </c>
      <c r="C100" s="21" t="s">
        <v>127</v>
      </c>
      <c r="D100" s="21">
        <v>4</v>
      </c>
      <c r="E100" s="19" t="s">
        <v>127</v>
      </c>
      <c r="F100">
        <v>125</v>
      </c>
      <c r="G100" s="2">
        <v>13.209</v>
      </c>
      <c r="H100" s="14" t="s">
        <v>66</v>
      </c>
      <c r="I100" s="4" t="s">
        <v>20</v>
      </c>
      <c r="J100" s="21">
        <v>3</v>
      </c>
      <c r="K100" s="21">
        <v>7</v>
      </c>
      <c r="L100" s="8">
        <v>43.2</v>
      </c>
      <c r="M100" s="2">
        <v>1.5</v>
      </c>
      <c r="N100" s="2">
        <v>30</v>
      </c>
      <c r="O100" s="2">
        <f t="shared" si="8"/>
        <v>25.299999999999997</v>
      </c>
      <c r="P100" s="2">
        <f t="shared" si="9"/>
        <v>57.831325301204814</v>
      </c>
      <c r="Q100" s="2">
        <f t="shared" si="10"/>
        <v>2.0080321285140563</v>
      </c>
      <c r="R100" s="2">
        <f t="shared" si="11"/>
        <v>40.160642570281126</v>
      </c>
      <c r="S100" s="22">
        <v>0.12659207916511347</v>
      </c>
      <c r="T100" s="22">
        <v>9.7768558739462011E-2</v>
      </c>
      <c r="U100" s="22">
        <v>1.5901738296920347</v>
      </c>
      <c r="V100" s="22">
        <v>0.46950764850518434</v>
      </c>
      <c r="W100" s="22">
        <v>0.18438697317374067</v>
      </c>
      <c r="X100" s="22">
        <v>2.4684290892755349</v>
      </c>
      <c r="Y100" s="22">
        <v>13.550494707478755</v>
      </c>
      <c r="Z100" s="2"/>
      <c r="AA100" s="2"/>
      <c r="AC100" t="s">
        <v>85</v>
      </c>
      <c r="AD100" t="s">
        <v>85</v>
      </c>
    </row>
    <row r="101" spans="1:30" x14ac:dyDescent="0.35">
      <c r="A101" t="s">
        <v>74</v>
      </c>
      <c r="B101" s="19">
        <v>4</v>
      </c>
      <c r="C101" s="21" t="s">
        <v>127</v>
      </c>
      <c r="D101" s="21">
        <v>4</v>
      </c>
      <c r="E101" s="19" t="s">
        <v>127</v>
      </c>
      <c r="F101">
        <v>100</v>
      </c>
      <c r="G101" s="2">
        <v>6.2110000000000003</v>
      </c>
      <c r="H101" s="14" t="s">
        <v>66</v>
      </c>
      <c r="I101" s="4" t="s">
        <v>20</v>
      </c>
      <c r="J101" s="21">
        <v>4</v>
      </c>
      <c r="K101" s="21">
        <v>7</v>
      </c>
      <c r="L101" s="8">
        <v>43.2</v>
      </c>
      <c r="M101" s="2">
        <v>1.5</v>
      </c>
      <c r="N101" s="2">
        <v>30</v>
      </c>
      <c r="O101" s="2">
        <f t="shared" si="8"/>
        <v>25.299999999999997</v>
      </c>
      <c r="P101" s="2">
        <f t="shared" si="9"/>
        <v>57.831325301204814</v>
      </c>
      <c r="Q101" s="2">
        <f t="shared" si="10"/>
        <v>2.0080321285140563</v>
      </c>
      <c r="R101" s="2">
        <f t="shared" si="11"/>
        <v>40.160642570281126</v>
      </c>
      <c r="S101" s="22"/>
      <c r="T101" s="22"/>
      <c r="U101" s="22"/>
      <c r="V101" s="22"/>
      <c r="W101" s="22"/>
      <c r="X101" s="22"/>
      <c r="Y101" s="22"/>
      <c r="Z101" s="2"/>
      <c r="AA101" s="2"/>
      <c r="AC101" t="s">
        <v>85</v>
      </c>
      <c r="AD101" t="s">
        <v>85</v>
      </c>
    </row>
    <row r="102" spans="1:30" x14ac:dyDescent="0.35">
      <c r="A102" t="s">
        <v>74</v>
      </c>
      <c r="B102" s="19">
        <v>5</v>
      </c>
      <c r="C102" s="21" t="s">
        <v>127</v>
      </c>
      <c r="D102" s="21">
        <v>4</v>
      </c>
      <c r="E102" s="19" t="s">
        <v>127</v>
      </c>
      <c r="F102">
        <v>60</v>
      </c>
      <c r="G102" s="2">
        <v>8.0649999999999995</v>
      </c>
      <c r="H102" s="14" t="s">
        <v>66</v>
      </c>
      <c r="I102" s="4" t="s">
        <v>20</v>
      </c>
      <c r="J102" s="21">
        <v>5</v>
      </c>
      <c r="K102" s="21">
        <v>7</v>
      </c>
      <c r="L102" s="8">
        <v>43.2</v>
      </c>
      <c r="M102" s="2">
        <v>1.5</v>
      </c>
      <c r="N102" s="2">
        <v>30</v>
      </c>
      <c r="O102" s="2">
        <f t="shared" si="8"/>
        <v>25.299999999999997</v>
      </c>
      <c r="P102" s="2">
        <f t="shared" si="9"/>
        <v>57.831325301204814</v>
      </c>
      <c r="Q102" s="2">
        <f t="shared" si="10"/>
        <v>2.0080321285140563</v>
      </c>
      <c r="R102" s="2">
        <f t="shared" si="11"/>
        <v>40.160642570281126</v>
      </c>
      <c r="S102" s="22"/>
      <c r="T102" s="22"/>
      <c r="U102" s="22"/>
      <c r="V102" s="22"/>
      <c r="W102" s="22"/>
      <c r="X102" s="22"/>
      <c r="Y102" s="22"/>
      <c r="Z102" s="2"/>
      <c r="AA102" s="2"/>
      <c r="AC102" t="s">
        <v>85</v>
      </c>
      <c r="AD102" t="s">
        <v>85</v>
      </c>
    </row>
    <row r="103" spans="1:30" x14ac:dyDescent="0.35">
      <c r="A103" t="s">
        <v>78</v>
      </c>
      <c r="B103" s="19">
        <v>1</v>
      </c>
      <c r="C103" s="19" t="s">
        <v>126</v>
      </c>
      <c r="D103" s="19">
        <v>3</v>
      </c>
      <c r="E103" s="19" t="s">
        <v>126</v>
      </c>
      <c r="F103">
        <v>203</v>
      </c>
      <c r="G103" s="2">
        <v>6.5069999999999997</v>
      </c>
      <c r="H103" s="4" t="s">
        <v>63</v>
      </c>
      <c r="I103" s="4" t="s">
        <v>61</v>
      </c>
      <c r="J103" s="21">
        <v>1</v>
      </c>
      <c r="K103" s="21">
        <v>7</v>
      </c>
      <c r="L103" s="8">
        <v>62</v>
      </c>
      <c r="M103" s="2">
        <v>0.1</v>
      </c>
      <c r="N103" s="2">
        <v>18</v>
      </c>
      <c r="O103" s="2">
        <f t="shared" si="8"/>
        <v>19.899999999999999</v>
      </c>
      <c r="P103" s="2">
        <f t="shared" si="9"/>
        <v>77.403245942571786</v>
      </c>
      <c r="Q103" s="2">
        <f t="shared" si="10"/>
        <v>0.1248439450686642</v>
      </c>
      <c r="R103" s="2">
        <f t="shared" si="11"/>
        <v>22.471910112359552</v>
      </c>
      <c r="S103" s="22"/>
      <c r="T103" s="22"/>
      <c r="U103" s="22"/>
      <c r="V103" s="22"/>
      <c r="W103" s="22"/>
      <c r="X103" s="22"/>
      <c r="Y103" s="22"/>
      <c r="Z103" s="2"/>
      <c r="AA103" s="2"/>
      <c r="AC103" t="s">
        <v>85</v>
      </c>
      <c r="AD103" t="s">
        <v>85</v>
      </c>
    </row>
    <row r="104" spans="1:30" x14ac:dyDescent="0.35">
      <c r="A104" t="s">
        <v>78</v>
      </c>
      <c r="B104" s="19">
        <v>2</v>
      </c>
      <c r="C104" s="19" t="s">
        <v>126</v>
      </c>
      <c r="D104" s="19">
        <v>3</v>
      </c>
      <c r="E104" s="19" t="s">
        <v>126</v>
      </c>
      <c r="F104">
        <v>90</v>
      </c>
      <c r="G104" s="2">
        <v>4.8289999999999997</v>
      </c>
      <c r="H104" s="4" t="s">
        <v>63</v>
      </c>
      <c r="I104" s="4" t="s">
        <v>61</v>
      </c>
      <c r="J104" s="21">
        <v>2</v>
      </c>
      <c r="K104" s="21">
        <v>7</v>
      </c>
      <c r="L104" s="8">
        <v>62</v>
      </c>
      <c r="M104" s="2">
        <v>0.1</v>
      </c>
      <c r="N104" s="2">
        <v>18</v>
      </c>
      <c r="O104" s="2">
        <f t="shared" si="8"/>
        <v>19.899999999999999</v>
      </c>
      <c r="P104" s="2">
        <f t="shared" si="9"/>
        <v>77.403245942571786</v>
      </c>
      <c r="Q104" s="2">
        <f t="shared" si="10"/>
        <v>0.1248439450686642</v>
      </c>
      <c r="R104" s="2">
        <f t="shared" si="11"/>
        <v>22.471910112359552</v>
      </c>
      <c r="S104" s="22"/>
      <c r="T104" s="22"/>
      <c r="U104" s="22"/>
      <c r="V104" s="22"/>
      <c r="W104" s="22"/>
      <c r="X104" s="22"/>
      <c r="Y104" s="22"/>
      <c r="Z104" s="2"/>
      <c r="AA104" s="2"/>
      <c r="AC104" t="s">
        <v>85</v>
      </c>
      <c r="AD104" t="s">
        <v>85</v>
      </c>
    </row>
    <row r="105" spans="1:30" x14ac:dyDescent="0.35">
      <c r="A105" t="s">
        <v>78</v>
      </c>
      <c r="B105" s="19">
        <v>3</v>
      </c>
      <c r="C105" s="19" t="s">
        <v>126</v>
      </c>
      <c r="D105" s="19">
        <v>3</v>
      </c>
      <c r="E105" s="19" t="s">
        <v>126</v>
      </c>
      <c r="F105">
        <v>54</v>
      </c>
      <c r="G105" s="2">
        <v>4.8609999999999998</v>
      </c>
      <c r="H105" s="4" t="s">
        <v>63</v>
      </c>
      <c r="I105" s="4" t="s">
        <v>61</v>
      </c>
      <c r="J105" s="21">
        <v>3</v>
      </c>
      <c r="K105" s="21">
        <v>7</v>
      </c>
      <c r="L105" s="8">
        <v>62</v>
      </c>
      <c r="M105" s="2">
        <v>0.1</v>
      </c>
      <c r="N105" s="2">
        <v>18</v>
      </c>
      <c r="O105" s="2">
        <f t="shared" si="8"/>
        <v>19.899999999999999</v>
      </c>
      <c r="P105" s="2">
        <f t="shared" si="9"/>
        <v>77.403245942571786</v>
      </c>
      <c r="Q105" s="2">
        <f t="shared" si="10"/>
        <v>0.1248439450686642</v>
      </c>
      <c r="R105" s="2">
        <f t="shared" si="11"/>
        <v>22.471910112359552</v>
      </c>
      <c r="S105" s="22"/>
      <c r="T105" s="22"/>
      <c r="U105" s="22"/>
      <c r="V105" s="22"/>
      <c r="W105" s="22"/>
      <c r="X105" s="22"/>
      <c r="Y105" s="22"/>
      <c r="Z105" s="2"/>
      <c r="AA105" s="2"/>
      <c r="AC105" t="s">
        <v>85</v>
      </c>
      <c r="AD105" t="s">
        <v>85</v>
      </c>
    </row>
    <row r="106" spans="1:30" x14ac:dyDescent="0.35">
      <c r="A106" t="s">
        <v>78</v>
      </c>
      <c r="B106" s="19">
        <v>4</v>
      </c>
      <c r="C106" s="19" t="s">
        <v>126</v>
      </c>
      <c r="D106" s="19">
        <v>3</v>
      </c>
      <c r="E106" s="19" t="s">
        <v>126</v>
      </c>
      <c r="F106">
        <v>91</v>
      </c>
      <c r="G106" s="2">
        <v>5.5960000000000001</v>
      </c>
      <c r="H106" s="4" t="s">
        <v>63</v>
      </c>
      <c r="I106" s="4" t="s">
        <v>61</v>
      </c>
      <c r="J106" s="21">
        <v>4</v>
      </c>
      <c r="K106" s="21">
        <v>7</v>
      </c>
      <c r="L106" s="8">
        <v>62</v>
      </c>
      <c r="M106" s="2">
        <v>0.1</v>
      </c>
      <c r="N106" s="2">
        <v>18</v>
      </c>
      <c r="O106" s="2">
        <f t="shared" si="8"/>
        <v>19.899999999999999</v>
      </c>
      <c r="P106" s="2">
        <f t="shared" si="9"/>
        <v>77.403245942571786</v>
      </c>
      <c r="Q106" s="2">
        <f t="shared" si="10"/>
        <v>0.1248439450686642</v>
      </c>
      <c r="R106" s="2">
        <f t="shared" si="11"/>
        <v>22.471910112359552</v>
      </c>
      <c r="S106" s="22"/>
      <c r="T106" s="22"/>
      <c r="U106" s="22"/>
      <c r="V106" s="22"/>
      <c r="W106" s="22"/>
      <c r="X106" s="22"/>
      <c r="Y106" s="22"/>
      <c r="Z106" s="2"/>
      <c r="AA106" s="2"/>
      <c r="AC106" t="s">
        <v>85</v>
      </c>
      <c r="AD106" t="s">
        <v>85</v>
      </c>
    </row>
    <row r="107" spans="1:30" x14ac:dyDescent="0.35">
      <c r="A107" t="s">
        <v>78</v>
      </c>
      <c r="B107" s="19">
        <v>5</v>
      </c>
      <c r="C107" s="19" t="s">
        <v>126</v>
      </c>
      <c r="D107" s="19">
        <v>3</v>
      </c>
      <c r="E107" s="19" t="s">
        <v>126</v>
      </c>
      <c r="F107">
        <v>128</v>
      </c>
      <c r="G107" s="2">
        <v>4.7050000000000001</v>
      </c>
      <c r="H107" s="4" t="s">
        <v>63</v>
      </c>
      <c r="I107" s="4" t="s">
        <v>61</v>
      </c>
      <c r="J107" s="21">
        <v>5</v>
      </c>
      <c r="K107" s="21">
        <v>7</v>
      </c>
      <c r="L107" s="8">
        <v>62</v>
      </c>
      <c r="M107" s="2">
        <v>0.1</v>
      </c>
      <c r="N107" s="2">
        <v>18</v>
      </c>
      <c r="O107" s="2">
        <f t="shared" si="8"/>
        <v>19.899999999999999</v>
      </c>
      <c r="P107" s="2">
        <f t="shared" si="9"/>
        <v>77.403245942571786</v>
      </c>
      <c r="Q107" s="2">
        <f t="shared" si="10"/>
        <v>0.1248439450686642</v>
      </c>
      <c r="R107" s="2">
        <f t="shared" si="11"/>
        <v>22.471910112359552</v>
      </c>
      <c r="S107" s="22"/>
      <c r="T107" s="22"/>
      <c r="U107" s="22"/>
      <c r="V107" s="22"/>
      <c r="W107" s="22"/>
      <c r="X107" s="22"/>
      <c r="Y107" s="22"/>
      <c r="Z107" s="2"/>
      <c r="AA107" s="2"/>
      <c r="AC107" t="s">
        <v>85</v>
      </c>
      <c r="AD107" t="s">
        <v>85</v>
      </c>
    </row>
    <row r="108" spans="1:30" x14ac:dyDescent="0.35">
      <c r="A108" t="s">
        <v>7</v>
      </c>
      <c r="B108" s="19">
        <v>1</v>
      </c>
      <c r="C108" s="19" t="s">
        <v>127</v>
      </c>
      <c r="D108" s="19">
        <v>4</v>
      </c>
      <c r="E108" s="19" t="s">
        <v>127</v>
      </c>
      <c r="F108">
        <v>162</v>
      </c>
      <c r="G108" s="2">
        <v>4.8579999999999997</v>
      </c>
      <c r="H108" s="14" t="s">
        <v>66</v>
      </c>
      <c r="I108" s="4" t="s">
        <v>20</v>
      </c>
      <c r="J108" s="21">
        <v>1</v>
      </c>
      <c r="K108" s="21">
        <v>7</v>
      </c>
      <c r="L108" s="8">
        <v>12.5</v>
      </c>
      <c r="M108" s="2">
        <v>2.2000000000000002</v>
      </c>
      <c r="N108" s="2">
        <v>57</v>
      </c>
      <c r="O108" s="2">
        <f t="shared" si="8"/>
        <v>28.299999999999997</v>
      </c>
      <c r="P108" s="2">
        <f t="shared" si="9"/>
        <v>17.433751743375172</v>
      </c>
      <c r="Q108" s="2">
        <f t="shared" si="10"/>
        <v>3.0683403068340307</v>
      </c>
      <c r="R108" s="2">
        <f t="shared" si="11"/>
        <v>79.497907949790786</v>
      </c>
      <c r="S108" s="22">
        <v>0.24120006028366225</v>
      </c>
      <c r="T108" s="22">
        <v>6.5121076107156367E-2</v>
      </c>
      <c r="U108" s="22">
        <v>1.5869075786113878</v>
      </c>
      <c r="V108" s="22">
        <v>0.34594291017033141</v>
      </c>
      <c r="W108" s="22">
        <v>4.8325031449853235E-2</v>
      </c>
      <c r="X108" s="22">
        <v>2.2874966566223911</v>
      </c>
      <c r="Y108" s="22">
        <v>26.39168921687439</v>
      </c>
      <c r="Z108" s="2"/>
      <c r="AA108" s="2"/>
      <c r="AC108" t="s">
        <v>85</v>
      </c>
      <c r="AD108" t="s">
        <v>85</v>
      </c>
    </row>
    <row r="109" spans="1:30" x14ac:dyDescent="0.35">
      <c r="A109" t="s">
        <v>7</v>
      </c>
      <c r="B109" s="19">
        <v>2</v>
      </c>
      <c r="C109" s="19" t="s">
        <v>127</v>
      </c>
      <c r="D109" s="19">
        <v>4</v>
      </c>
      <c r="E109" s="19" t="s">
        <v>127</v>
      </c>
      <c r="F109">
        <v>37</v>
      </c>
      <c r="G109" s="2">
        <v>2.056</v>
      </c>
      <c r="H109" s="14" t="s">
        <v>66</v>
      </c>
      <c r="I109" s="4" t="s">
        <v>20</v>
      </c>
      <c r="J109" s="21">
        <v>2</v>
      </c>
      <c r="K109" s="21">
        <v>7</v>
      </c>
      <c r="L109" s="8">
        <v>12.5</v>
      </c>
      <c r="M109" s="2">
        <v>2.2000000000000002</v>
      </c>
      <c r="N109" s="2">
        <v>57</v>
      </c>
      <c r="O109" s="2">
        <f t="shared" si="8"/>
        <v>28.299999999999997</v>
      </c>
      <c r="P109" s="2">
        <f t="shared" si="9"/>
        <v>17.433751743375172</v>
      </c>
      <c r="Q109" s="2">
        <f t="shared" si="10"/>
        <v>3.0683403068340307</v>
      </c>
      <c r="R109" s="2">
        <f t="shared" si="11"/>
        <v>79.497907949790786</v>
      </c>
      <c r="S109" s="22">
        <v>0.53811540694981874</v>
      </c>
      <c r="T109" s="22">
        <v>9.9259867684253072E-2</v>
      </c>
      <c r="U109" s="22">
        <v>1.7803243597289018</v>
      </c>
      <c r="V109" s="22">
        <v>0.36312709755717854</v>
      </c>
      <c r="W109" s="22">
        <v>3.6775680356944014E-2</v>
      </c>
      <c r="X109" s="22">
        <v>2.8176024122770964</v>
      </c>
      <c r="Y109" s="22">
        <v>28.336937432496342</v>
      </c>
      <c r="Z109" s="2"/>
      <c r="AA109" s="2"/>
      <c r="AC109" t="s">
        <v>85</v>
      </c>
      <c r="AD109" t="s">
        <v>85</v>
      </c>
    </row>
    <row r="110" spans="1:30" x14ac:dyDescent="0.35">
      <c r="A110" t="s">
        <v>7</v>
      </c>
      <c r="B110" s="19">
        <v>3</v>
      </c>
      <c r="C110" s="19" t="s">
        <v>127</v>
      </c>
      <c r="D110" s="19">
        <v>4</v>
      </c>
      <c r="E110" s="19" t="s">
        <v>127</v>
      </c>
      <c r="F110">
        <v>85</v>
      </c>
      <c r="G110" s="2">
        <v>5.601</v>
      </c>
      <c r="H110" s="14" t="s">
        <v>66</v>
      </c>
      <c r="I110" s="4" t="s">
        <v>20</v>
      </c>
      <c r="J110" s="21">
        <v>3</v>
      </c>
      <c r="K110" s="21">
        <v>7</v>
      </c>
      <c r="L110" s="8">
        <v>12.5</v>
      </c>
      <c r="M110" s="2">
        <v>2.2000000000000002</v>
      </c>
      <c r="N110" s="2">
        <v>57</v>
      </c>
      <c r="O110" s="2">
        <f t="shared" si="8"/>
        <v>28.299999999999997</v>
      </c>
      <c r="P110" s="2">
        <f t="shared" si="9"/>
        <v>17.433751743375172</v>
      </c>
      <c r="Q110" s="2">
        <f t="shared" si="10"/>
        <v>3.0683403068340307</v>
      </c>
      <c r="R110" s="2">
        <f t="shared" si="11"/>
        <v>79.497907949790786</v>
      </c>
      <c r="S110" s="22">
        <v>0.23030248628471905</v>
      </c>
      <c r="T110" s="22">
        <v>7.2108585358951247E-2</v>
      </c>
      <c r="U110" s="22">
        <v>1.5793625780969531</v>
      </c>
      <c r="V110" s="22">
        <v>0.32023418010811716</v>
      </c>
      <c r="W110" s="22">
        <v>2.433774493111952E-2</v>
      </c>
      <c r="X110" s="22">
        <v>2.2263455747798599</v>
      </c>
      <c r="Y110" s="22">
        <v>20.37512830498261</v>
      </c>
      <c r="Z110" s="2"/>
      <c r="AA110" s="2"/>
      <c r="AC110" t="s">
        <v>85</v>
      </c>
      <c r="AD110" t="s">
        <v>85</v>
      </c>
    </row>
    <row r="111" spans="1:30" x14ac:dyDescent="0.35">
      <c r="A111" t="s">
        <v>7</v>
      </c>
      <c r="B111" s="19">
        <v>4</v>
      </c>
      <c r="C111" s="19" t="s">
        <v>127</v>
      </c>
      <c r="D111" s="19">
        <v>4</v>
      </c>
      <c r="E111" s="19" t="s">
        <v>127</v>
      </c>
      <c r="F111">
        <v>122</v>
      </c>
      <c r="G111" s="2">
        <v>3.8860000000000001</v>
      </c>
      <c r="H111" s="14" t="s">
        <v>66</v>
      </c>
      <c r="I111" s="4" t="s">
        <v>20</v>
      </c>
      <c r="J111" s="21">
        <v>4</v>
      </c>
      <c r="K111" s="21">
        <v>7</v>
      </c>
      <c r="L111" s="8">
        <v>12.5</v>
      </c>
      <c r="M111" s="2">
        <v>2.2000000000000002</v>
      </c>
      <c r="N111" s="2">
        <v>57</v>
      </c>
      <c r="O111" s="2">
        <f t="shared" si="8"/>
        <v>28.299999999999997</v>
      </c>
      <c r="P111" s="2">
        <f t="shared" si="9"/>
        <v>17.433751743375172</v>
      </c>
      <c r="Q111" s="2">
        <f t="shared" si="10"/>
        <v>3.0683403068340307</v>
      </c>
      <c r="R111" s="2">
        <f t="shared" si="11"/>
        <v>79.497907949790786</v>
      </c>
      <c r="S111" s="22"/>
      <c r="T111" s="22"/>
      <c r="U111" s="22"/>
      <c r="V111" s="22"/>
      <c r="W111" s="22"/>
      <c r="X111" s="22"/>
      <c r="Y111" s="22"/>
      <c r="Z111" s="2"/>
      <c r="AA111" s="2"/>
      <c r="AC111" t="s">
        <v>85</v>
      </c>
      <c r="AD111" t="s">
        <v>85</v>
      </c>
    </row>
    <row r="112" spans="1:30" x14ac:dyDescent="0.35">
      <c r="A112" t="s">
        <v>7</v>
      </c>
      <c r="B112" s="19">
        <v>5</v>
      </c>
      <c r="C112" s="19" t="s">
        <v>127</v>
      </c>
      <c r="D112" s="19">
        <v>4</v>
      </c>
      <c r="E112" s="19" t="s">
        <v>127</v>
      </c>
      <c r="F112">
        <v>210</v>
      </c>
      <c r="G112" s="2">
        <v>2.774</v>
      </c>
      <c r="H112" s="14" t="s">
        <v>66</v>
      </c>
      <c r="I112" s="4" t="s">
        <v>20</v>
      </c>
      <c r="J112" s="21">
        <v>5</v>
      </c>
      <c r="K112" s="21">
        <v>7</v>
      </c>
      <c r="L112" s="8">
        <v>12.5</v>
      </c>
      <c r="M112" s="2">
        <v>2.2000000000000002</v>
      </c>
      <c r="N112" s="2">
        <v>57</v>
      </c>
      <c r="O112" s="2">
        <f t="shared" si="8"/>
        <v>28.299999999999997</v>
      </c>
      <c r="P112" s="2">
        <f t="shared" si="9"/>
        <v>17.433751743375172</v>
      </c>
      <c r="Q112" s="2">
        <f t="shared" si="10"/>
        <v>3.0683403068340307</v>
      </c>
      <c r="R112" s="2">
        <f t="shared" si="11"/>
        <v>79.497907949790786</v>
      </c>
      <c r="S112" s="22"/>
      <c r="T112" s="22"/>
      <c r="U112" s="22"/>
      <c r="V112" s="22"/>
      <c r="W112" s="22"/>
      <c r="X112" s="22"/>
      <c r="Y112" s="22"/>
      <c r="Z112" s="2"/>
      <c r="AA112" s="2"/>
      <c r="AC112" t="s">
        <v>85</v>
      </c>
      <c r="AD112" t="s">
        <v>85</v>
      </c>
    </row>
    <row r="113" spans="1:30" x14ac:dyDescent="0.35">
      <c r="A113" t="s">
        <v>80</v>
      </c>
      <c r="B113" s="21">
        <v>1</v>
      </c>
      <c r="C113" s="19" t="s">
        <v>127</v>
      </c>
      <c r="D113" s="19">
        <v>4</v>
      </c>
      <c r="E113" s="19" t="s">
        <v>127</v>
      </c>
      <c r="F113">
        <v>72</v>
      </c>
      <c r="G113" s="2">
        <v>0.47499999999999998</v>
      </c>
      <c r="H113" s="14" t="s">
        <v>66</v>
      </c>
      <c r="I113" s="4" t="s">
        <v>19</v>
      </c>
      <c r="J113" s="21">
        <v>1</v>
      </c>
      <c r="K113" s="21">
        <v>7</v>
      </c>
      <c r="L113" s="8"/>
      <c r="M113" s="2"/>
      <c r="N113" s="2"/>
      <c r="O113" s="2"/>
      <c r="P113" s="2"/>
      <c r="Q113" s="2"/>
      <c r="R113" s="2"/>
      <c r="S113" s="22">
        <v>0.19583139527349366</v>
      </c>
      <c r="T113" s="22">
        <v>5.1437512555099069E-2</v>
      </c>
      <c r="U113" s="22">
        <v>2.0025985978580758</v>
      </c>
      <c r="V113" s="22">
        <v>0.37277936557095287</v>
      </c>
      <c r="W113" s="22">
        <v>4.6084191306220601E-2</v>
      </c>
      <c r="X113" s="22">
        <v>2.6687310625638423</v>
      </c>
      <c r="Y113" s="22">
        <v>19.258555539469832</v>
      </c>
      <c r="Z113" s="2"/>
      <c r="AA113" s="2"/>
      <c r="AC113" t="s">
        <v>87</v>
      </c>
      <c r="AD113" t="s">
        <v>87</v>
      </c>
    </row>
    <row r="114" spans="1:30" x14ac:dyDescent="0.35">
      <c r="A114" t="s">
        <v>80</v>
      </c>
      <c r="B114" s="21">
        <v>2</v>
      </c>
      <c r="C114" s="19" t="s">
        <v>127</v>
      </c>
      <c r="D114" s="19">
        <v>4</v>
      </c>
      <c r="E114" s="19" t="s">
        <v>127</v>
      </c>
      <c r="F114">
        <v>29</v>
      </c>
      <c r="G114" s="2">
        <v>0.628</v>
      </c>
      <c r="H114" s="14" t="s">
        <v>66</v>
      </c>
      <c r="I114" s="4" t="s">
        <v>19</v>
      </c>
      <c r="J114" s="21">
        <v>2</v>
      </c>
      <c r="K114" s="21">
        <v>7</v>
      </c>
      <c r="L114" s="8"/>
      <c r="M114" s="2"/>
      <c r="N114" s="2"/>
      <c r="O114" s="2"/>
      <c r="P114" s="2"/>
      <c r="Q114" s="2"/>
      <c r="R114" s="2"/>
      <c r="S114" s="22">
        <v>0.23723008883565841</v>
      </c>
      <c r="T114" s="22">
        <v>4.666102916940186E-2</v>
      </c>
      <c r="U114" s="22">
        <v>1.6956381758675088</v>
      </c>
      <c r="V114" s="22">
        <v>0.26485286848739703</v>
      </c>
      <c r="W114" s="22">
        <v>6.7073724891863321E-2</v>
      </c>
      <c r="X114" s="22">
        <v>2.3114558872518294</v>
      </c>
      <c r="Y114" s="22">
        <v>15.426134957376034</v>
      </c>
      <c r="Z114" s="2"/>
      <c r="AA114" s="2"/>
      <c r="AC114" t="s">
        <v>87</v>
      </c>
      <c r="AD114" t="s">
        <v>87</v>
      </c>
    </row>
    <row r="115" spans="1:30" x14ac:dyDescent="0.35">
      <c r="A115" t="s">
        <v>80</v>
      </c>
      <c r="B115" s="21">
        <v>3</v>
      </c>
      <c r="C115" s="19" t="s">
        <v>127</v>
      </c>
      <c r="D115" s="19">
        <v>4</v>
      </c>
      <c r="E115" s="19" t="s">
        <v>127</v>
      </c>
      <c r="F115">
        <v>244</v>
      </c>
      <c r="G115" s="2">
        <v>4.0460000000000003</v>
      </c>
      <c r="H115" s="14" t="s">
        <v>66</v>
      </c>
      <c r="I115" s="4" t="s">
        <v>19</v>
      </c>
      <c r="J115" s="21">
        <v>3</v>
      </c>
      <c r="K115" s="21">
        <v>7</v>
      </c>
      <c r="L115" s="8"/>
      <c r="M115" s="2"/>
      <c r="N115" s="2"/>
      <c r="O115" s="2"/>
      <c r="P115" s="2"/>
      <c r="Q115" s="2"/>
      <c r="R115" s="2"/>
      <c r="S115" s="22">
        <v>0.17952901385682735</v>
      </c>
      <c r="T115" s="22">
        <v>7.8718359131782836E-2</v>
      </c>
      <c r="U115" s="22">
        <v>1.3156020259319339</v>
      </c>
      <c r="V115" s="22">
        <v>0.23834433342060798</v>
      </c>
      <c r="W115" s="22">
        <v>3.0111704581363204E-2</v>
      </c>
      <c r="X115" s="22">
        <v>1.8423054369225151</v>
      </c>
      <c r="Y115" s="22">
        <v>11.010052657184145</v>
      </c>
      <c r="Z115" s="2"/>
      <c r="AA115" s="2"/>
      <c r="AC115" t="s">
        <v>87</v>
      </c>
      <c r="AD115" t="s">
        <v>87</v>
      </c>
    </row>
    <row r="116" spans="1:30" x14ac:dyDescent="0.35">
      <c r="A116" t="s">
        <v>80</v>
      </c>
      <c r="B116" s="21">
        <v>4</v>
      </c>
      <c r="C116" s="19" t="s">
        <v>127</v>
      </c>
      <c r="D116" s="19">
        <v>4</v>
      </c>
      <c r="E116" s="19" t="s">
        <v>127</v>
      </c>
      <c r="F116">
        <v>108</v>
      </c>
      <c r="G116" s="2">
        <v>1.8069999999999999</v>
      </c>
      <c r="H116" s="14" t="s">
        <v>66</v>
      </c>
      <c r="I116" s="4" t="s">
        <v>19</v>
      </c>
      <c r="J116" s="21">
        <v>4</v>
      </c>
      <c r="K116" s="21">
        <v>7</v>
      </c>
      <c r="L116" s="8"/>
      <c r="M116" s="2"/>
      <c r="N116" s="2"/>
      <c r="O116" s="2"/>
      <c r="P116" s="2"/>
      <c r="Q116" s="2"/>
      <c r="R116" s="2"/>
      <c r="S116" s="22"/>
      <c r="T116" s="22"/>
      <c r="U116" s="22"/>
      <c r="V116" s="22"/>
      <c r="W116" s="22"/>
      <c r="X116" s="22"/>
      <c r="Y116" s="22"/>
      <c r="Z116" s="2"/>
      <c r="AA116" s="2"/>
      <c r="AC116" t="s">
        <v>87</v>
      </c>
      <c r="AD116" t="s">
        <v>87</v>
      </c>
    </row>
    <row r="117" spans="1:30" x14ac:dyDescent="0.35">
      <c r="A117" t="s">
        <v>80</v>
      </c>
      <c r="B117" s="21">
        <v>5</v>
      </c>
      <c r="C117" s="19" t="s">
        <v>127</v>
      </c>
      <c r="D117" s="19">
        <v>4</v>
      </c>
      <c r="E117" s="19" t="s">
        <v>127</v>
      </c>
      <c r="F117">
        <v>24</v>
      </c>
      <c r="G117" s="2">
        <v>0.39200000000000002</v>
      </c>
      <c r="H117" s="14" t="s">
        <v>66</v>
      </c>
      <c r="I117" s="4" t="s">
        <v>19</v>
      </c>
      <c r="J117" s="21">
        <v>5</v>
      </c>
      <c r="K117" s="21">
        <v>7</v>
      </c>
      <c r="L117" s="8"/>
      <c r="M117" s="2"/>
      <c r="N117" s="2"/>
      <c r="O117" s="2"/>
      <c r="P117" s="2"/>
      <c r="Q117" s="2"/>
      <c r="R117" s="2"/>
      <c r="S117" s="22"/>
      <c r="T117" s="22"/>
      <c r="U117" s="22"/>
      <c r="V117" s="22"/>
      <c r="W117" s="22"/>
      <c r="X117" s="22"/>
      <c r="Y117" s="22"/>
      <c r="Z117" s="2"/>
      <c r="AA117" s="2"/>
      <c r="AC117" t="s">
        <v>87</v>
      </c>
      <c r="AD117" t="s">
        <v>87</v>
      </c>
    </row>
    <row r="118" spans="1:30" x14ac:dyDescent="0.35">
      <c r="A118" t="s">
        <v>69</v>
      </c>
      <c r="B118" s="19">
        <v>1</v>
      </c>
      <c r="C118" s="19" t="s">
        <v>128</v>
      </c>
      <c r="D118" s="19">
        <v>5</v>
      </c>
      <c r="E118" s="19"/>
      <c r="F118">
        <v>95</v>
      </c>
      <c r="G118" s="6">
        <v>2.3690000000000002</v>
      </c>
      <c r="H118" s="4" t="s">
        <v>67</v>
      </c>
      <c r="I118" s="4" t="s">
        <v>68</v>
      </c>
      <c r="J118" s="19">
        <v>1</v>
      </c>
      <c r="K118" s="19">
        <v>6</v>
      </c>
      <c r="L118" s="24"/>
      <c r="M118" s="24"/>
      <c r="N118" s="24"/>
      <c r="O118" s="2"/>
      <c r="P118" s="2"/>
      <c r="Q118" s="2"/>
      <c r="R118" s="2"/>
      <c r="S118" s="22"/>
      <c r="T118" s="22"/>
      <c r="U118" s="22"/>
      <c r="V118" s="22"/>
      <c r="W118" s="22"/>
      <c r="X118" s="22"/>
      <c r="Y118" s="22"/>
      <c r="Z118" s="2"/>
      <c r="AA118" s="2"/>
      <c r="AC118" t="s">
        <v>87</v>
      </c>
      <c r="AD118" t="s">
        <v>87</v>
      </c>
    </row>
    <row r="119" spans="1:30" x14ac:dyDescent="0.35">
      <c r="A119" t="s">
        <v>69</v>
      </c>
      <c r="B119" s="19">
        <v>2</v>
      </c>
      <c r="C119" s="19" t="s">
        <v>128</v>
      </c>
      <c r="D119" s="19">
        <v>5</v>
      </c>
      <c r="E119" s="19"/>
      <c r="F119">
        <v>91</v>
      </c>
      <c r="G119" s="6">
        <v>2.7709999999999999</v>
      </c>
      <c r="H119" s="4" t="s">
        <v>67</v>
      </c>
      <c r="I119" s="4" t="s">
        <v>68</v>
      </c>
      <c r="J119" s="19">
        <v>2</v>
      </c>
      <c r="K119" s="19">
        <v>6</v>
      </c>
      <c r="L119" s="24"/>
      <c r="M119" s="24"/>
      <c r="N119" s="24"/>
      <c r="O119" s="2"/>
      <c r="P119" s="2"/>
      <c r="Q119" s="2"/>
      <c r="R119" s="2"/>
      <c r="S119" s="22"/>
      <c r="T119" s="22"/>
      <c r="U119" s="22"/>
      <c r="V119" s="22"/>
      <c r="W119" s="22"/>
      <c r="X119" s="22"/>
      <c r="Y119" s="22"/>
      <c r="Z119" s="2"/>
      <c r="AA119" s="2"/>
      <c r="AC119" t="s">
        <v>87</v>
      </c>
      <c r="AD119" t="s">
        <v>87</v>
      </c>
    </row>
    <row r="120" spans="1:30" x14ac:dyDescent="0.35">
      <c r="A120" t="s">
        <v>69</v>
      </c>
      <c r="B120" s="19">
        <v>3</v>
      </c>
      <c r="C120" s="19" t="s">
        <v>128</v>
      </c>
      <c r="D120" s="19">
        <v>5</v>
      </c>
      <c r="E120" s="19"/>
      <c r="F120">
        <v>99</v>
      </c>
      <c r="G120" s="6">
        <v>1.1779999999999999</v>
      </c>
      <c r="H120" s="4" t="s">
        <v>67</v>
      </c>
      <c r="I120" s="4" t="s">
        <v>68</v>
      </c>
      <c r="J120" s="19">
        <v>3</v>
      </c>
      <c r="K120" s="19">
        <v>6</v>
      </c>
      <c r="L120" s="24"/>
      <c r="M120" s="24"/>
      <c r="N120" s="24"/>
      <c r="O120" s="2"/>
      <c r="P120" s="2"/>
      <c r="Q120" s="2"/>
      <c r="R120" s="2"/>
      <c r="S120" s="22"/>
      <c r="T120" s="22"/>
      <c r="U120" s="22"/>
      <c r="V120" s="22"/>
      <c r="W120" s="22"/>
      <c r="X120" s="22"/>
      <c r="Y120" s="22"/>
      <c r="Z120" s="2"/>
      <c r="AA120" s="2"/>
      <c r="AC120" t="s">
        <v>87</v>
      </c>
      <c r="AD120" t="s">
        <v>87</v>
      </c>
    </row>
    <row r="121" spans="1:30" x14ac:dyDescent="0.35">
      <c r="A121" t="s">
        <v>69</v>
      </c>
      <c r="B121" s="19">
        <v>4</v>
      </c>
      <c r="C121" s="19" t="s">
        <v>128</v>
      </c>
      <c r="D121" s="19">
        <v>5</v>
      </c>
      <c r="E121" s="19"/>
      <c r="F121">
        <v>75</v>
      </c>
      <c r="G121" s="6">
        <v>2.9910000000000001</v>
      </c>
      <c r="H121" s="4" t="s">
        <v>67</v>
      </c>
      <c r="I121" s="4" t="s">
        <v>68</v>
      </c>
      <c r="J121" s="19">
        <v>4</v>
      </c>
      <c r="K121" s="19">
        <v>6</v>
      </c>
      <c r="L121" s="24"/>
      <c r="M121" s="24"/>
      <c r="N121" s="24"/>
      <c r="O121" s="2"/>
      <c r="P121" s="2"/>
      <c r="Q121" s="2"/>
      <c r="R121" s="2"/>
      <c r="S121" s="22"/>
      <c r="T121" s="22"/>
      <c r="U121" s="22"/>
      <c r="V121" s="22"/>
      <c r="W121" s="22"/>
      <c r="X121" s="22"/>
      <c r="Y121" s="22"/>
      <c r="Z121" s="2"/>
      <c r="AA121" s="2"/>
      <c r="AC121" t="s">
        <v>87</v>
      </c>
      <c r="AD121" t="s">
        <v>87</v>
      </c>
    </row>
    <row r="122" spans="1:30" x14ac:dyDescent="0.35">
      <c r="A122" t="s">
        <v>69</v>
      </c>
      <c r="B122" s="19">
        <v>5</v>
      </c>
      <c r="C122" s="19" t="s">
        <v>128</v>
      </c>
      <c r="D122" s="19">
        <v>5</v>
      </c>
      <c r="E122" s="19"/>
      <c r="F122">
        <v>56</v>
      </c>
      <c r="G122" s="6">
        <v>1.2490000000000001</v>
      </c>
      <c r="H122" s="4" t="s">
        <v>67</v>
      </c>
      <c r="I122" s="4" t="s">
        <v>68</v>
      </c>
      <c r="J122" s="19">
        <v>5</v>
      </c>
      <c r="K122" s="19">
        <v>6</v>
      </c>
      <c r="L122" s="24"/>
      <c r="M122" s="24"/>
      <c r="N122" s="24"/>
      <c r="O122" s="2"/>
      <c r="P122" s="2"/>
      <c r="Q122" s="2"/>
      <c r="R122" s="2"/>
      <c r="S122" s="22"/>
      <c r="T122" s="22"/>
      <c r="U122" s="22"/>
      <c r="V122" s="22"/>
      <c r="W122" s="22"/>
      <c r="X122" s="22"/>
      <c r="Y122" s="22"/>
      <c r="Z122" s="2"/>
      <c r="AA122" s="2"/>
      <c r="AC122" t="s">
        <v>87</v>
      </c>
      <c r="AD122" t="s">
        <v>87</v>
      </c>
    </row>
    <row r="123" spans="1:30" x14ac:dyDescent="0.35">
      <c r="A123" t="s">
        <v>69</v>
      </c>
      <c r="B123" s="19">
        <v>6</v>
      </c>
      <c r="C123" s="19" t="s">
        <v>128</v>
      </c>
      <c r="D123" s="19">
        <v>5</v>
      </c>
      <c r="E123" s="19"/>
      <c r="F123">
        <v>104</v>
      </c>
      <c r="G123" s="6">
        <v>2.0379999999999998</v>
      </c>
      <c r="H123" s="4" t="s">
        <v>67</v>
      </c>
      <c r="I123" s="4" t="s">
        <v>68</v>
      </c>
      <c r="J123" s="19">
        <v>6</v>
      </c>
      <c r="K123" s="19">
        <v>6</v>
      </c>
      <c r="L123" s="24"/>
      <c r="M123" s="24"/>
      <c r="N123" s="24"/>
      <c r="O123" s="2"/>
      <c r="P123" s="2"/>
      <c r="Q123" s="2"/>
      <c r="R123" s="2"/>
      <c r="S123" s="22"/>
      <c r="T123" s="22"/>
      <c r="U123" s="22"/>
      <c r="V123" s="22"/>
      <c r="W123" s="22"/>
      <c r="X123" s="22"/>
      <c r="Y123" s="22"/>
      <c r="Z123" s="2"/>
      <c r="AA123" s="2"/>
      <c r="AC123" t="s">
        <v>87</v>
      </c>
      <c r="AD123" t="s">
        <v>87</v>
      </c>
    </row>
    <row r="124" spans="1:30" x14ac:dyDescent="0.35">
      <c r="A124" t="s">
        <v>70</v>
      </c>
      <c r="B124" s="19">
        <v>1</v>
      </c>
      <c r="C124" s="19" t="s">
        <v>128</v>
      </c>
      <c r="D124" s="19">
        <v>5</v>
      </c>
      <c r="E124" s="19"/>
      <c r="F124">
        <v>102</v>
      </c>
      <c r="G124" s="6">
        <v>3.831</v>
      </c>
      <c r="H124" s="4" t="s">
        <v>67</v>
      </c>
      <c r="I124" s="4" t="s">
        <v>68</v>
      </c>
      <c r="J124" s="19">
        <v>1</v>
      </c>
      <c r="K124" s="19">
        <v>6</v>
      </c>
      <c r="L124" s="24"/>
      <c r="M124" s="24"/>
      <c r="N124" s="24"/>
      <c r="O124" s="2"/>
      <c r="P124" s="2"/>
      <c r="Q124" s="2"/>
      <c r="R124" s="2"/>
      <c r="S124" s="22"/>
      <c r="T124" s="22"/>
      <c r="U124" s="22"/>
      <c r="V124" s="22"/>
      <c r="W124" s="22"/>
      <c r="X124" s="22"/>
      <c r="Y124" s="22"/>
      <c r="Z124" s="2"/>
      <c r="AA124" s="2"/>
      <c r="AC124" t="s">
        <v>87</v>
      </c>
      <c r="AD124" t="s">
        <v>87</v>
      </c>
    </row>
    <row r="125" spans="1:30" x14ac:dyDescent="0.35">
      <c r="A125" t="s">
        <v>70</v>
      </c>
      <c r="B125" s="19">
        <v>2</v>
      </c>
      <c r="C125" s="19" t="s">
        <v>128</v>
      </c>
      <c r="D125" s="19">
        <v>5</v>
      </c>
      <c r="E125" s="19"/>
      <c r="F125">
        <v>45</v>
      </c>
      <c r="G125" s="6">
        <v>2.85</v>
      </c>
      <c r="H125" s="4" t="s">
        <v>67</v>
      </c>
      <c r="I125" s="4" t="s">
        <v>68</v>
      </c>
      <c r="J125" s="19">
        <v>2</v>
      </c>
      <c r="K125" s="19">
        <v>6</v>
      </c>
      <c r="L125" s="24"/>
      <c r="M125" s="24"/>
      <c r="N125" s="24"/>
      <c r="O125" s="2"/>
      <c r="P125" s="2"/>
      <c r="Q125" s="2"/>
      <c r="R125" s="2"/>
      <c r="S125" s="22"/>
      <c r="T125" s="22"/>
      <c r="U125" s="22"/>
      <c r="V125" s="22"/>
      <c r="W125" s="22"/>
      <c r="X125" s="22"/>
      <c r="Y125" s="22"/>
      <c r="Z125" s="2"/>
      <c r="AA125" s="2"/>
      <c r="AC125" t="s">
        <v>87</v>
      </c>
      <c r="AD125" t="s">
        <v>87</v>
      </c>
    </row>
    <row r="126" spans="1:30" x14ac:dyDescent="0.35">
      <c r="A126" t="s">
        <v>70</v>
      </c>
      <c r="B126" s="19">
        <v>3</v>
      </c>
      <c r="C126" s="19" t="s">
        <v>128</v>
      </c>
      <c r="D126" s="19">
        <v>5</v>
      </c>
      <c r="E126" s="19"/>
      <c r="F126">
        <v>105</v>
      </c>
      <c r="G126" s="6">
        <v>2.3010000000000002</v>
      </c>
      <c r="H126" s="4" t="s">
        <v>67</v>
      </c>
      <c r="I126" s="4" t="s">
        <v>68</v>
      </c>
      <c r="J126" s="19">
        <v>3</v>
      </c>
      <c r="K126" s="19">
        <v>6</v>
      </c>
      <c r="L126" s="24"/>
      <c r="M126" s="24"/>
      <c r="N126" s="24"/>
      <c r="O126" s="2"/>
      <c r="P126" s="2"/>
      <c r="Q126" s="2"/>
      <c r="R126" s="2"/>
      <c r="S126" s="22"/>
      <c r="T126" s="22"/>
      <c r="U126" s="22"/>
      <c r="V126" s="22"/>
      <c r="W126" s="22"/>
      <c r="X126" s="22"/>
      <c r="Y126" s="22"/>
      <c r="Z126" s="2"/>
      <c r="AA126" s="2"/>
      <c r="AC126" t="s">
        <v>87</v>
      </c>
      <c r="AD126" t="s">
        <v>87</v>
      </c>
    </row>
    <row r="127" spans="1:30" x14ac:dyDescent="0.35">
      <c r="A127" t="s">
        <v>70</v>
      </c>
      <c r="B127" s="19">
        <v>4</v>
      </c>
      <c r="C127" s="19" t="s">
        <v>128</v>
      </c>
      <c r="D127" s="19">
        <v>5</v>
      </c>
      <c r="E127" s="19"/>
      <c r="F127">
        <v>104</v>
      </c>
      <c r="G127" s="6">
        <v>1.8720000000000001</v>
      </c>
      <c r="H127" s="4" t="s">
        <v>67</v>
      </c>
      <c r="I127" s="4" t="s">
        <v>68</v>
      </c>
      <c r="J127" s="19">
        <v>4</v>
      </c>
      <c r="K127" s="19">
        <v>6</v>
      </c>
      <c r="L127" s="24"/>
      <c r="M127" s="24"/>
      <c r="N127" s="24"/>
      <c r="O127" s="2"/>
      <c r="P127" s="2"/>
      <c r="Q127" s="2"/>
      <c r="R127" s="2"/>
      <c r="S127" s="22"/>
      <c r="T127" s="22"/>
      <c r="U127" s="22"/>
      <c r="V127" s="22"/>
      <c r="W127" s="22"/>
      <c r="X127" s="22"/>
      <c r="Y127" s="22"/>
      <c r="Z127" s="2"/>
      <c r="AA127" s="2"/>
      <c r="AC127" t="s">
        <v>87</v>
      </c>
      <c r="AD127" t="s">
        <v>87</v>
      </c>
    </row>
    <row r="128" spans="1:30" x14ac:dyDescent="0.35">
      <c r="A128" t="s">
        <v>70</v>
      </c>
      <c r="B128" s="19">
        <v>5</v>
      </c>
      <c r="C128" s="19" t="s">
        <v>128</v>
      </c>
      <c r="D128" s="19">
        <v>5</v>
      </c>
      <c r="E128" s="19"/>
      <c r="F128">
        <v>105</v>
      </c>
      <c r="G128" s="6">
        <v>4.9580000000000002</v>
      </c>
      <c r="H128" s="4" t="s">
        <v>67</v>
      </c>
      <c r="I128" s="4" t="s">
        <v>68</v>
      </c>
      <c r="J128" s="19">
        <v>5</v>
      </c>
      <c r="K128" s="19">
        <v>6</v>
      </c>
      <c r="L128" s="24"/>
      <c r="M128" s="24"/>
      <c r="N128" s="24"/>
      <c r="O128" s="2"/>
      <c r="P128" s="2"/>
      <c r="Q128" s="2"/>
      <c r="R128" s="2"/>
      <c r="S128" s="22"/>
      <c r="T128" s="22"/>
      <c r="U128" s="22"/>
      <c r="V128" s="22"/>
      <c r="W128" s="22"/>
      <c r="X128" s="22"/>
      <c r="Y128" s="22"/>
      <c r="Z128" s="2"/>
      <c r="AA128" s="2"/>
      <c r="AC128" t="s">
        <v>87</v>
      </c>
      <c r="AD128" t="s">
        <v>87</v>
      </c>
    </row>
    <row r="129" spans="1:30" x14ac:dyDescent="0.35">
      <c r="A129" t="s">
        <v>70</v>
      </c>
      <c r="B129" s="19">
        <v>6</v>
      </c>
      <c r="C129" s="19" t="s">
        <v>128</v>
      </c>
      <c r="D129" s="19">
        <v>5</v>
      </c>
      <c r="E129" s="19"/>
      <c r="F129">
        <v>143</v>
      </c>
      <c r="G129" s="6">
        <v>3.24</v>
      </c>
      <c r="H129" s="4" t="s">
        <v>67</v>
      </c>
      <c r="I129" s="4" t="s">
        <v>68</v>
      </c>
      <c r="J129" s="19">
        <v>6</v>
      </c>
      <c r="K129" s="19">
        <v>6</v>
      </c>
      <c r="L129" s="24"/>
      <c r="M129" s="24"/>
      <c r="N129" s="24"/>
      <c r="O129" s="2"/>
      <c r="P129" s="2"/>
      <c r="Q129" s="2"/>
      <c r="R129" s="2"/>
      <c r="S129" s="22"/>
      <c r="T129" s="22"/>
      <c r="U129" s="22"/>
      <c r="V129" s="22"/>
      <c r="W129" s="22"/>
      <c r="X129" s="22"/>
      <c r="Y129" s="22"/>
      <c r="Z129" s="2"/>
      <c r="AA129" s="2"/>
      <c r="AC129" t="s">
        <v>87</v>
      </c>
      <c r="AD129" t="s">
        <v>87</v>
      </c>
    </row>
    <row r="130" spans="1:30" x14ac:dyDescent="0.35">
      <c r="A130" t="s">
        <v>73</v>
      </c>
      <c r="B130" s="19">
        <v>1</v>
      </c>
      <c r="C130" s="19" t="s">
        <v>128</v>
      </c>
      <c r="D130" s="19">
        <v>5</v>
      </c>
      <c r="E130" s="19"/>
      <c r="F130">
        <v>91</v>
      </c>
      <c r="G130" s="6">
        <v>1.7769999999999999</v>
      </c>
      <c r="H130" s="4" t="s">
        <v>67</v>
      </c>
      <c r="I130" s="4" t="s">
        <v>68</v>
      </c>
      <c r="J130" s="19">
        <v>1</v>
      </c>
      <c r="K130" s="19">
        <v>6</v>
      </c>
      <c r="L130" s="24"/>
      <c r="M130" s="24"/>
      <c r="N130" s="24"/>
      <c r="O130" s="2"/>
      <c r="P130" s="2"/>
      <c r="Q130" s="2"/>
      <c r="R130" s="2"/>
      <c r="S130" s="22"/>
      <c r="T130" s="22"/>
      <c r="U130" s="22"/>
      <c r="V130" s="22"/>
      <c r="W130" s="22"/>
      <c r="X130" s="22"/>
      <c r="Y130" s="22"/>
      <c r="Z130" s="2"/>
      <c r="AA130" s="2"/>
      <c r="AC130" t="s">
        <v>87</v>
      </c>
      <c r="AD130" t="s">
        <v>87</v>
      </c>
    </row>
    <row r="131" spans="1:30" x14ac:dyDescent="0.35">
      <c r="A131" t="s">
        <v>73</v>
      </c>
      <c r="B131" s="19">
        <v>2</v>
      </c>
      <c r="C131" s="19" t="s">
        <v>128</v>
      </c>
      <c r="D131" s="19">
        <v>5</v>
      </c>
      <c r="E131" s="19"/>
      <c r="F131">
        <v>88</v>
      </c>
      <c r="G131" s="6">
        <v>1.8220000000000001</v>
      </c>
      <c r="H131" s="4" t="s">
        <v>67</v>
      </c>
      <c r="I131" s="4" t="s">
        <v>68</v>
      </c>
      <c r="J131" s="19">
        <v>2</v>
      </c>
      <c r="K131" s="19">
        <v>6</v>
      </c>
      <c r="L131" s="24"/>
      <c r="M131" s="24"/>
      <c r="N131" s="24"/>
      <c r="O131" s="2"/>
      <c r="P131" s="2"/>
      <c r="Q131" s="2"/>
      <c r="R131" s="2"/>
      <c r="S131" s="22"/>
      <c r="T131" s="22"/>
      <c r="U131" s="22"/>
      <c r="V131" s="22"/>
      <c r="W131" s="22"/>
      <c r="X131" s="22"/>
      <c r="Y131" s="22"/>
      <c r="Z131" s="2"/>
      <c r="AA131" s="2"/>
      <c r="AC131" t="s">
        <v>87</v>
      </c>
      <c r="AD131" t="s">
        <v>87</v>
      </c>
    </row>
    <row r="132" spans="1:30" x14ac:dyDescent="0.35">
      <c r="A132" t="s">
        <v>73</v>
      </c>
      <c r="B132" s="19">
        <v>3</v>
      </c>
      <c r="C132" s="19" t="s">
        <v>128</v>
      </c>
      <c r="D132" s="19">
        <v>5</v>
      </c>
      <c r="E132" s="19"/>
      <c r="F132">
        <v>126</v>
      </c>
      <c r="G132" s="6">
        <v>2.3170000000000002</v>
      </c>
      <c r="H132" s="4" t="s">
        <v>67</v>
      </c>
      <c r="I132" s="4" t="s">
        <v>68</v>
      </c>
      <c r="J132" s="19">
        <v>3</v>
      </c>
      <c r="K132" s="19">
        <v>6</v>
      </c>
      <c r="L132" s="24"/>
      <c r="M132" s="24"/>
      <c r="N132" s="24"/>
      <c r="O132" s="2"/>
      <c r="P132" s="2"/>
      <c r="Q132" s="2"/>
      <c r="R132" s="2"/>
      <c r="S132" s="22"/>
      <c r="T132" s="22"/>
      <c r="U132" s="22"/>
      <c r="V132" s="22"/>
      <c r="W132" s="22"/>
      <c r="X132" s="22"/>
      <c r="Y132" s="22"/>
      <c r="Z132" s="2"/>
      <c r="AA132" s="2"/>
      <c r="AC132" t="s">
        <v>87</v>
      </c>
      <c r="AD132" t="s">
        <v>87</v>
      </c>
    </row>
    <row r="133" spans="1:30" x14ac:dyDescent="0.35">
      <c r="A133" t="s">
        <v>73</v>
      </c>
      <c r="B133" s="19">
        <v>4</v>
      </c>
      <c r="C133" s="19" t="s">
        <v>128</v>
      </c>
      <c r="D133" s="19">
        <v>5</v>
      </c>
      <c r="E133" s="19"/>
      <c r="F133">
        <v>106</v>
      </c>
      <c r="G133" s="6">
        <v>0.33500000000000002</v>
      </c>
      <c r="H133" s="4" t="s">
        <v>67</v>
      </c>
      <c r="I133" s="4" t="s">
        <v>68</v>
      </c>
      <c r="J133" s="19">
        <v>4</v>
      </c>
      <c r="K133" s="19">
        <v>6</v>
      </c>
      <c r="L133" s="24"/>
      <c r="M133" s="24"/>
      <c r="N133" s="24"/>
      <c r="O133" s="2"/>
      <c r="P133" s="2"/>
      <c r="Q133" s="2"/>
      <c r="R133" s="2"/>
      <c r="S133" s="22"/>
      <c r="T133" s="22"/>
      <c r="U133" s="22"/>
      <c r="V133" s="22"/>
      <c r="W133" s="22"/>
      <c r="X133" s="22"/>
      <c r="Y133" s="22"/>
      <c r="Z133" s="2"/>
      <c r="AA133" s="2"/>
      <c r="AC133" t="s">
        <v>87</v>
      </c>
      <c r="AD133" t="s">
        <v>87</v>
      </c>
    </row>
    <row r="134" spans="1:30" x14ac:dyDescent="0.35">
      <c r="A134" t="s">
        <v>73</v>
      </c>
      <c r="B134" s="19">
        <v>5</v>
      </c>
      <c r="C134" s="19" t="s">
        <v>128</v>
      </c>
      <c r="D134" s="19">
        <v>5</v>
      </c>
      <c r="E134" s="19"/>
      <c r="F134">
        <v>93</v>
      </c>
      <c r="G134" s="6">
        <v>2.665</v>
      </c>
      <c r="H134" s="4" t="s">
        <v>67</v>
      </c>
      <c r="I134" s="4" t="s">
        <v>68</v>
      </c>
      <c r="J134" s="19">
        <v>5</v>
      </c>
      <c r="K134" s="19">
        <v>6</v>
      </c>
      <c r="L134" s="24"/>
      <c r="M134" s="24"/>
      <c r="N134" s="24"/>
      <c r="O134" s="2"/>
      <c r="P134" s="2"/>
      <c r="Q134" s="2"/>
      <c r="R134" s="2"/>
      <c r="S134" s="22"/>
      <c r="T134" s="22"/>
      <c r="U134" s="22"/>
      <c r="V134" s="22"/>
      <c r="W134" s="22"/>
      <c r="X134" s="22"/>
      <c r="Y134" s="22"/>
      <c r="Z134" s="2"/>
      <c r="AA134" s="2"/>
      <c r="AC134" t="s">
        <v>87</v>
      </c>
      <c r="AD134" t="s">
        <v>87</v>
      </c>
    </row>
    <row r="135" spans="1:30" x14ac:dyDescent="0.35">
      <c r="A135" t="s">
        <v>73</v>
      </c>
      <c r="B135" s="19">
        <v>6</v>
      </c>
      <c r="C135" s="19" t="s">
        <v>128</v>
      </c>
      <c r="D135" s="19">
        <v>5</v>
      </c>
      <c r="E135" s="19"/>
      <c r="F135" s="4">
        <v>106</v>
      </c>
      <c r="G135" s="6">
        <v>1.883</v>
      </c>
      <c r="H135" s="4" t="s">
        <v>67</v>
      </c>
      <c r="I135" s="4" t="s">
        <v>68</v>
      </c>
      <c r="J135" s="19">
        <v>6</v>
      </c>
      <c r="K135" s="19">
        <v>6</v>
      </c>
      <c r="L135" s="24"/>
      <c r="M135" s="24"/>
      <c r="N135" s="24"/>
      <c r="O135" s="2"/>
      <c r="P135" s="2"/>
      <c r="Q135" s="2"/>
      <c r="R135" s="2"/>
      <c r="S135" s="22"/>
      <c r="T135" s="22"/>
      <c r="U135" s="22"/>
      <c r="V135" s="22"/>
      <c r="W135" s="22"/>
      <c r="X135" s="22"/>
      <c r="Y135" s="22"/>
      <c r="Z135" s="2"/>
      <c r="AA135" s="2"/>
      <c r="AC135" t="s">
        <v>87</v>
      </c>
      <c r="AD135" t="s">
        <v>87</v>
      </c>
    </row>
    <row r="136" spans="1:30" x14ac:dyDescent="0.35">
      <c r="A136" t="s">
        <v>72</v>
      </c>
      <c r="B136" s="19">
        <v>1</v>
      </c>
      <c r="C136" s="19" t="s">
        <v>128</v>
      </c>
      <c r="D136" s="19">
        <v>5</v>
      </c>
      <c r="E136" s="19"/>
      <c r="F136">
        <v>110</v>
      </c>
      <c r="G136" s="6">
        <v>2.1120000000000001</v>
      </c>
      <c r="H136" s="4" t="s">
        <v>67</v>
      </c>
      <c r="I136" s="4" t="s">
        <v>68</v>
      </c>
      <c r="J136" s="19">
        <v>1</v>
      </c>
      <c r="K136" s="19">
        <v>6</v>
      </c>
      <c r="L136" s="24"/>
      <c r="M136" s="24"/>
      <c r="N136" s="24"/>
      <c r="O136" s="2"/>
      <c r="P136" s="2"/>
      <c r="Q136" s="2"/>
      <c r="R136" s="2"/>
      <c r="S136" s="22"/>
      <c r="T136" s="22"/>
      <c r="U136" s="22"/>
      <c r="V136" s="22"/>
      <c r="W136" s="22"/>
      <c r="X136" s="22"/>
      <c r="Y136" s="22"/>
      <c r="Z136" s="2"/>
      <c r="AA136" s="2"/>
      <c r="AC136" t="s">
        <v>87</v>
      </c>
      <c r="AD136" t="s">
        <v>87</v>
      </c>
    </row>
    <row r="137" spans="1:30" x14ac:dyDescent="0.35">
      <c r="A137" t="s">
        <v>72</v>
      </c>
      <c r="B137" s="19">
        <v>2</v>
      </c>
      <c r="C137" s="19" t="s">
        <v>128</v>
      </c>
      <c r="D137" s="19">
        <v>5</v>
      </c>
      <c r="E137" s="19"/>
      <c r="F137">
        <v>64</v>
      </c>
      <c r="G137" s="6">
        <v>1.774</v>
      </c>
      <c r="H137" s="4" t="s">
        <v>67</v>
      </c>
      <c r="I137" s="4" t="s">
        <v>68</v>
      </c>
      <c r="J137" s="19">
        <v>2</v>
      </c>
      <c r="K137" s="19">
        <v>6</v>
      </c>
      <c r="L137" s="24"/>
      <c r="M137" s="24"/>
      <c r="N137" s="24"/>
      <c r="O137" s="2"/>
      <c r="P137" s="2"/>
      <c r="Q137" s="2"/>
      <c r="R137" s="2"/>
      <c r="S137" s="22"/>
      <c r="T137" s="22"/>
      <c r="U137" s="22"/>
      <c r="V137" s="22"/>
      <c r="W137" s="22"/>
      <c r="X137" s="22"/>
      <c r="Y137" s="22"/>
      <c r="Z137" s="2"/>
      <c r="AA137" s="2"/>
      <c r="AC137" t="s">
        <v>87</v>
      </c>
      <c r="AD137" t="s">
        <v>87</v>
      </c>
    </row>
    <row r="138" spans="1:30" x14ac:dyDescent="0.35">
      <c r="A138" t="s">
        <v>72</v>
      </c>
      <c r="B138" s="19">
        <v>3</v>
      </c>
      <c r="C138" s="19" t="s">
        <v>128</v>
      </c>
      <c r="D138" s="19">
        <v>5</v>
      </c>
      <c r="E138" s="19"/>
      <c r="F138">
        <v>107</v>
      </c>
      <c r="G138" s="6">
        <v>2.62</v>
      </c>
      <c r="H138" s="4" t="s">
        <v>67</v>
      </c>
      <c r="I138" s="4" t="s">
        <v>68</v>
      </c>
      <c r="J138" s="19">
        <v>3</v>
      </c>
      <c r="K138" s="19">
        <v>6</v>
      </c>
      <c r="L138" s="24"/>
      <c r="M138" s="24"/>
      <c r="N138" s="24"/>
      <c r="O138" s="2"/>
      <c r="P138" s="2"/>
      <c r="Q138" s="2"/>
      <c r="R138" s="2"/>
      <c r="S138" s="22"/>
      <c r="T138" s="22"/>
      <c r="U138" s="22"/>
      <c r="V138" s="22"/>
      <c r="W138" s="22"/>
      <c r="X138" s="22"/>
      <c r="Y138" s="22"/>
      <c r="Z138" s="2"/>
      <c r="AA138" s="2"/>
      <c r="AC138" t="s">
        <v>87</v>
      </c>
      <c r="AD138" t="s">
        <v>87</v>
      </c>
    </row>
    <row r="139" spans="1:30" x14ac:dyDescent="0.35">
      <c r="A139" t="s">
        <v>72</v>
      </c>
      <c r="B139" s="19">
        <v>4</v>
      </c>
      <c r="C139" s="19" t="s">
        <v>128</v>
      </c>
      <c r="D139" s="19">
        <v>5</v>
      </c>
      <c r="E139" s="19"/>
      <c r="F139">
        <v>68</v>
      </c>
      <c r="G139" s="6">
        <v>1.792</v>
      </c>
      <c r="H139" s="4" t="s">
        <v>67</v>
      </c>
      <c r="I139" s="4" t="s">
        <v>68</v>
      </c>
      <c r="J139" s="19">
        <v>4</v>
      </c>
      <c r="K139" s="19">
        <v>6</v>
      </c>
      <c r="L139" s="24"/>
      <c r="M139" s="24"/>
      <c r="N139" s="24"/>
      <c r="O139" s="2"/>
      <c r="P139" s="2"/>
      <c r="Q139" s="2"/>
      <c r="R139" s="2"/>
      <c r="S139" s="22"/>
      <c r="T139" s="22"/>
      <c r="U139" s="22"/>
      <c r="V139" s="22"/>
      <c r="W139" s="22"/>
      <c r="X139" s="22"/>
      <c r="Y139" s="22"/>
      <c r="Z139" s="2"/>
      <c r="AA139" s="2"/>
      <c r="AC139" t="s">
        <v>87</v>
      </c>
      <c r="AD139" t="s">
        <v>87</v>
      </c>
    </row>
    <row r="140" spans="1:30" x14ac:dyDescent="0.35">
      <c r="A140" t="s">
        <v>72</v>
      </c>
      <c r="B140" s="19">
        <v>5</v>
      </c>
      <c r="C140" s="19" t="s">
        <v>128</v>
      </c>
      <c r="D140" s="19">
        <v>5</v>
      </c>
      <c r="E140" s="19"/>
      <c r="F140">
        <v>66</v>
      </c>
      <c r="G140" s="6">
        <v>1.1839999999999999</v>
      </c>
      <c r="H140" s="4" t="s">
        <v>67</v>
      </c>
      <c r="I140" s="4" t="s">
        <v>68</v>
      </c>
      <c r="J140" s="19">
        <v>5</v>
      </c>
      <c r="K140" s="19">
        <v>6</v>
      </c>
      <c r="L140" s="24"/>
      <c r="M140" s="24"/>
      <c r="N140" s="24"/>
      <c r="O140" s="2"/>
      <c r="P140" s="2"/>
      <c r="Q140" s="2"/>
      <c r="R140" s="2"/>
      <c r="S140" s="22"/>
      <c r="T140" s="22"/>
      <c r="U140" s="22"/>
      <c r="V140" s="22"/>
      <c r="W140" s="22"/>
      <c r="X140" s="22"/>
      <c r="Y140" s="22"/>
      <c r="Z140" s="2"/>
      <c r="AA140" s="2"/>
      <c r="AC140" t="s">
        <v>87</v>
      </c>
      <c r="AD140" t="s">
        <v>87</v>
      </c>
    </row>
    <row r="141" spans="1:30" x14ac:dyDescent="0.35">
      <c r="A141" t="s">
        <v>72</v>
      </c>
      <c r="B141" s="19">
        <v>6</v>
      </c>
      <c r="C141" s="19" t="s">
        <v>128</v>
      </c>
      <c r="D141" s="19">
        <v>5</v>
      </c>
      <c r="E141" s="19"/>
      <c r="F141">
        <v>59</v>
      </c>
      <c r="G141" s="6">
        <v>1.978</v>
      </c>
      <c r="H141" s="4" t="s">
        <v>67</v>
      </c>
      <c r="I141" s="4" t="s">
        <v>68</v>
      </c>
      <c r="J141" s="19">
        <v>6</v>
      </c>
      <c r="K141" s="19">
        <v>6</v>
      </c>
      <c r="L141" s="24"/>
      <c r="M141" s="24"/>
      <c r="N141" s="24"/>
      <c r="O141" s="2"/>
      <c r="P141" s="2"/>
      <c r="Q141" s="2"/>
      <c r="R141" s="2"/>
      <c r="S141" s="22"/>
      <c r="T141" s="22"/>
      <c r="U141" s="22"/>
      <c r="V141" s="22"/>
      <c r="W141" s="22"/>
      <c r="X141" s="22"/>
      <c r="Y141" s="22"/>
      <c r="Z141" s="2"/>
      <c r="AA141" s="2"/>
      <c r="AC141" t="s">
        <v>87</v>
      </c>
      <c r="AD141" t="s">
        <v>87</v>
      </c>
    </row>
    <row r="142" spans="1:30" x14ac:dyDescent="0.35">
      <c r="A142" t="s">
        <v>71</v>
      </c>
      <c r="B142" s="19">
        <v>1</v>
      </c>
      <c r="C142" s="19" t="s">
        <v>128</v>
      </c>
      <c r="D142" s="19">
        <v>5</v>
      </c>
      <c r="E142" s="19"/>
      <c r="F142">
        <v>71</v>
      </c>
      <c r="G142" s="6">
        <v>2.0760000000000001</v>
      </c>
      <c r="H142" s="4" t="s">
        <v>67</v>
      </c>
      <c r="I142" s="4" t="s">
        <v>68</v>
      </c>
      <c r="J142" s="19">
        <v>1</v>
      </c>
      <c r="K142" s="19">
        <v>6</v>
      </c>
      <c r="L142" s="24"/>
      <c r="M142" s="24"/>
      <c r="N142" s="24"/>
      <c r="O142" s="2"/>
      <c r="P142" s="2"/>
      <c r="Q142" s="2"/>
      <c r="R142" s="2"/>
      <c r="S142" s="22"/>
      <c r="T142" s="22"/>
      <c r="U142" s="22"/>
      <c r="V142" s="22"/>
      <c r="W142" s="22"/>
      <c r="X142" s="22"/>
      <c r="Y142" s="22"/>
      <c r="Z142" s="2"/>
      <c r="AA142" s="2"/>
      <c r="AC142" t="s">
        <v>87</v>
      </c>
      <c r="AD142" t="s">
        <v>87</v>
      </c>
    </row>
    <row r="143" spans="1:30" x14ac:dyDescent="0.35">
      <c r="A143" t="s">
        <v>71</v>
      </c>
      <c r="B143" s="19">
        <v>2</v>
      </c>
      <c r="C143" s="19" t="s">
        <v>128</v>
      </c>
      <c r="D143" s="19">
        <v>5</v>
      </c>
      <c r="E143" s="19"/>
      <c r="F143">
        <v>78</v>
      </c>
      <c r="G143" s="6">
        <v>1.92</v>
      </c>
      <c r="H143" s="4" t="s">
        <v>67</v>
      </c>
      <c r="I143" s="4" t="s">
        <v>68</v>
      </c>
      <c r="J143" s="19">
        <v>2</v>
      </c>
      <c r="K143" s="19">
        <v>6</v>
      </c>
      <c r="L143" s="24"/>
      <c r="M143" s="24"/>
      <c r="N143" s="24"/>
      <c r="O143" s="2"/>
      <c r="P143" s="2"/>
      <c r="Q143" s="2"/>
      <c r="R143" s="2"/>
      <c r="S143" s="22"/>
      <c r="T143" s="22"/>
      <c r="U143" s="22"/>
      <c r="V143" s="22"/>
      <c r="W143" s="22"/>
      <c r="X143" s="22"/>
      <c r="Y143" s="22"/>
      <c r="Z143" s="2"/>
      <c r="AA143" s="2"/>
      <c r="AC143" t="s">
        <v>87</v>
      </c>
      <c r="AD143" t="s">
        <v>87</v>
      </c>
    </row>
    <row r="144" spans="1:30" x14ac:dyDescent="0.35">
      <c r="A144" t="s">
        <v>71</v>
      </c>
      <c r="B144" s="19">
        <v>3</v>
      </c>
      <c r="C144" s="19" t="s">
        <v>128</v>
      </c>
      <c r="D144" s="19">
        <v>5</v>
      </c>
      <c r="E144" s="19"/>
      <c r="F144">
        <v>160</v>
      </c>
      <c r="G144" s="6">
        <v>4.5170000000000003</v>
      </c>
      <c r="H144" s="4" t="s">
        <v>67</v>
      </c>
      <c r="I144" s="4" t="s">
        <v>68</v>
      </c>
      <c r="J144" s="19">
        <v>3</v>
      </c>
      <c r="K144" s="19">
        <v>6</v>
      </c>
      <c r="L144" s="24"/>
      <c r="M144" s="24"/>
      <c r="N144" s="24"/>
      <c r="O144" s="2"/>
      <c r="P144" s="2"/>
      <c r="Q144" s="2"/>
      <c r="R144" s="2"/>
      <c r="S144" s="22"/>
      <c r="T144" s="22"/>
      <c r="U144" s="22"/>
      <c r="V144" s="22"/>
      <c r="W144" s="22"/>
      <c r="X144" s="22"/>
      <c r="Y144" s="22"/>
      <c r="Z144" s="2"/>
      <c r="AA144" s="2"/>
      <c r="AC144" t="s">
        <v>87</v>
      </c>
      <c r="AD144" t="s">
        <v>87</v>
      </c>
    </row>
    <row r="145" spans="1:30" x14ac:dyDescent="0.35">
      <c r="A145" t="s">
        <v>71</v>
      </c>
      <c r="B145" s="19">
        <v>4</v>
      </c>
      <c r="C145" s="19" t="s">
        <v>128</v>
      </c>
      <c r="D145" s="19">
        <v>5</v>
      </c>
      <c r="E145" s="19"/>
      <c r="F145">
        <v>94</v>
      </c>
      <c r="G145" s="6">
        <v>1.468</v>
      </c>
      <c r="H145" s="4" t="s">
        <v>67</v>
      </c>
      <c r="I145" s="4" t="s">
        <v>68</v>
      </c>
      <c r="J145" s="19">
        <v>4</v>
      </c>
      <c r="K145" s="19">
        <v>6</v>
      </c>
      <c r="L145" s="24"/>
      <c r="M145" s="24"/>
      <c r="N145" s="24"/>
      <c r="O145" s="2"/>
      <c r="P145" s="2"/>
      <c r="Q145" s="2"/>
      <c r="R145" s="2"/>
      <c r="S145" s="22"/>
      <c r="T145" s="22"/>
      <c r="U145" s="22"/>
      <c r="V145" s="22"/>
      <c r="W145" s="22"/>
      <c r="X145" s="22"/>
      <c r="Y145" s="22"/>
      <c r="Z145" s="2"/>
      <c r="AA145" s="2"/>
      <c r="AC145" t="s">
        <v>87</v>
      </c>
      <c r="AD145" t="s">
        <v>87</v>
      </c>
    </row>
    <row r="146" spans="1:30" x14ac:dyDescent="0.35">
      <c r="A146" t="s">
        <v>71</v>
      </c>
      <c r="B146" s="19">
        <v>5</v>
      </c>
      <c r="C146" s="19" t="s">
        <v>128</v>
      </c>
      <c r="D146" s="19">
        <v>5</v>
      </c>
      <c r="E146" s="19"/>
      <c r="F146">
        <v>49</v>
      </c>
      <c r="G146" s="6">
        <v>1.8320000000000001</v>
      </c>
      <c r="H146" s="4" t="s">
        <v>67</v>
      </c>
      <c r="I146" s="4" t="s">
        <v>68</v>
      </c>
      <c r="J146" s="19">
        <v>5</v>
      </c>
      <c r="K146" s="19">
        <v>6</v>
      </c>
      <c r="L146" s="24"/>
      <c r="M146" s="24"/>
      <c r="N146" s="24"/>
      <c r="O146" s="2"/>
      <c r="P146" s="2"/>
      <c r="Q146" s="2"/>
      <c r="R146" s="2"/>
      <c r="S146" s="22"/>
      <c r="T146" s="22"/>
      <c r="U146" s="22"/>
      <c r="V146" s="22"/>
      <c r="W146" s="22"/>
      <c r="X146" s="22"/>
      <c r="Y146" s="22"/>
      <c r="Z146" s="2"/>
      <c r="AA146" s="2"/>
      <c r="AC146" t="s">
        <v>87</v>
      </c>
      <c r="AD146" t="s">
        <v>87</v>
      </c>
    </row>
    <row r="147" spans="1:30" x14ac:dyDescent="0.35">
      <c r="A147" t="s">
        <v>71</v>
      </c>
      <c r="B147" s="19">
        <v>6</v>
      </c>
      <c r="C147" s="19" t="s">
        <v>128</v>
      </c>
      <c r="D147" s="19">
        <v>5</v>
      </c>
      <c r="E147" s="19"/>
      <c r="F147">
        <v>93</v>
      </c>
      <c r="G147" s="6">
        <v>1.845</v>
      </c>
      <c r="H147" s="4" t="s">
        <v>67</v>
      </c>
      <c r="I147" s="4" t="s">
        <v>68</v>
      </c>
      <c r="J147" s="19">
        <v>6</v>
      </c>
      <c r="K147" s="19">
        <v>6</v>
      </c>
      <c r="L147" s="24"/>
      <c r="M147" s="24"/>
      <c r="N147" s="24"/>
      <c r="O147" s="2"/>
      <c r="P147" s="2"/>
      <c r="Q147" s="2"/>
      <c r="R147" s="2"/>
      <c r="S147" s="22"/>
      <c r="T147" s="22"/>
      <c r="U147" s="22"/>
      <c r="V147" s="22"/>
      <c r="W147" s="22"/>
      <c r="X147" s="22"/>
      <c r="Y147" s="22"/>
      <c r="Z147" s="2"/>
      <c r="AA147" s="2"/>
      <c r="AC147" t="s">
        <v>87</v>
      </c>
      <c r="AD147" t="s">
        <v>87</v>
      </c>
    </row>
    <row r="148" spans="1:30" x14ac:dyDescent="0.35">
      <c r="A148" t="s">
        <v>100</v>
      </c>
      <c r="B148" s="19">
        <v>1</v>
      </c>
      <c r="C148" s="19" t="s">
        <v>129</v>
      </c>
      <c r="D148" s="19">
        <v>6</v>
      </c>
      <c r="E148" s="19" t="s">
        <v>128</v>
      </c>
      <c r="F148">
        <v>333</v>
      </c>
      <c r="G148">
        <v>3.5790000000000002</v>
      </c>
      <c r="H148" s="4" t="s">
        <v>63</v>
      </c>
      <c r="I148" s="4" t="s">
        <v>61</v>
      </c>
      <c r="J148" s="19" t="s">
        <v>101</v>
      </c>
      <c r="K148" s="19">
        <v>6</v>
      </c>
      <c r="L148" s="24"/>
      <c r="M148" s="24"/>
      <c r="N148" s="24"/>
      <c r="O148" s="2"/>
      <c r="P148" s="2"/>
      <c r="Q148" s="2"/>
      <c r="R148" s="2"/>
      <c r="S148" s="22"/>
      <c r="T148" s="22"/>
      <c r="U148" s="22"/>
      <c r="V148" s="22"/>
      <c r="W148" s="22"/>
      <c r="X148" s="22"/>
      <c r="Y148" s="22"/>
      <c r="Z148" s="2"/>
      <c r="AA148" s="2"/>
      <c r="AC148" t="s">
        <v>85</v>
      </c>
      <c r="AD148" t="s">
        <v>87</v>
      </c>
    </row>
    <row r="149" spans="1:30" x14ac:dyDescent="0.35">
      <c r="A149" t="s">
        <v>100</v>
      </c>
      <c r="B149" s="19">
        <v>2</v>
      </c>
      <c r="C149" s="19" t="s">
        <v>129</v>
      </c>
      <c r="D149" s="19">
        <v>6</v>
      </c>
      <c r="E149" s="19" t="s">
        <v>128</v>
      </c>
      <c r="F149">
        <v>182</v>
      </c>
      <c r="G149">
        <v>0.93600000000000005</v>
      </c>
      <c r="H149" s="4" t="s">
        <v>63</v>
      </c>
      <c r="I149" s="4" t="s">
        <v>61</v>
      </c>
      <c r="J149" s="19" t="s">
        <v>102</v>
      </c>
      <c r="K149" s="19">
        <v>6</v>
      </c>
      <c r="L149" s="24"/>
      <c r="M149" s="24"/>
      <c r="N149" s="24"/>
      <c r="O149" s="2"/>
      <c r="P149" s="2"/>
      <c r="Q149" s="2"/>
      <c r="R149" s="2"/>
      <c r="S149" s="22"/>
      <c r="T149" s="22"/>
      <c r="U149" s="22"/>
      <c r="V149" s="22"/>
      <c r="W149" s="22"/>
      <c r="X149" s="22"/>
      <c r="Y149" s="22"/>
      <c r="Z149" s="2"/>
      <c r="AA149" s="2"/>
      <c r="AC149" t="s">
        <v>85</v>
      </c>
      <c r="AD149" t="s">
        <v>87</v>
      </c>
    </row>
    <row r="150" spans="1:30" x14ac:dyDescent="0.35">
      <c r="A150" t="s">
        <v>100</v>
      </c>
      <c r="B150" s="19">
        <v>3</v>
      </c>
      <c r="C150" s="19" t="s">
        <v>129</v>
      </c>
      <c r="D150" s="19">
        <v>6</v>
      </c>
      <c r="E150" s="19" t="s">
        <v>128</v>
      </c>
      <c r="F150">
        <v>250</v>
      </c>
      <c r="G150">
        <v>1.4079999999999999</v>
      </c>
      <c r="H150" s="4" t="s">
        <v>63</v>
      </c>
      <c r="I150" s="4" t="s">
        <v>61</v>
      </c>
      <c r="J150" s="19" t="s">
        <v>103</v>
      </c>
      <c r="K150" s="19">
        <v>6</v>
      </c>
      <c r="L150" s="24"/>
      <c r="M150" s="24"/>
      <c r="N150" s="24"/>
      <c r="O150" s="2"/>
      <c r="P150" s="2"/>
      <c r="Q150" s="2"/>
      <c r="R150" s="2"/>
      <c r="S150" s="22"/>
      <c r="T150" s="22"/>
      <c r="U150" s="22"/>
      <c r="V150" s="22"/>
      <c r="W150" s="22"/>
      <c r="X150" s="22"/>
      <c r="Y150" s="22"/>
      <c r="Z150" s="2"/>
      <c r="AA150" s="2"/>
      <c r="AC150" t="s">
        <v>85</v>
      </c>
      <c r="AD150" t="s">
        <v>87</v>
      </c>
    </row>
    <row r="151" spans="1:30" x14ac:dyDescent="0.35">
      <c r="A151" t="s">
        <v>100</v>
      </c>
      <c r="B151" s="19">
        <v>4</v>
      </c>
      <c r="C151" s="19" t="s">
        <v>129</v>
      </c>
      <c r="D151" s="19">
        <v>6</v>
      </c>
      <c r="E151" s="19" t="s">
        <v>128</v>
      </c>
      <c r="F151">
        <v>314</v>
      </c>
      <c r="G151">
        <v>1.2490000000000001</v>
      </c>
      <c r="H151" s="4" t="s">
        <v>63</v>
      </c>
      <c r="I151" s="4" t="s">
        <v>61</v>
      </c>
      <c r="J151" s="19" t="s">
        <v>104</v>
      </c>
      <c r="K151" s="19">
        <v>6</v>
      </c>
      <c r="L151" s="24"/>
      <c r="M151" s="24"/>
      <c r="N151" s="24"/>
      <c r="O151" s="2"/>
      <c r="P151" s="2"/>
      <c r="Q151" s="2"/>
      <c r="R151" s="2"/>
      <c r="S151" s="22"/>
      <c r="T151" s="22"/>
      <c r="U151" s="22"/>
      <c r="V151" s="22"/>
      <c r="W151" s="22"/>
      <c r="X151" s="22"/>
      <c r="Y151" s="22"/>
      <c r="Z151" s="2"/>
      <c r="AA151" s="2"/>
      <c r="AC151" t="s">
        <v>85</v>
      </c>
      <c r="AD151" t="s">
        <v>87</v>
      </c>
    </row>
    <row r="152" spans="1:30" x14ac:dyDescent="0.35">
      <c r="A152" t="s">
        <v>100</v>
      </c>
      <c r="B152" s="19">
        <v>5</v>
      </c>
      <c r="C152" s="19" t="s">
        <v>129</v>
      </c>
      <c r="D152" s="19">
        <v>6</v>
      </c>
      <c r="E152" s="19" t="s">
        <v>128</v>
      </c>
      <c r="F152">
        <v>221</v>
      </c>
      <c r="G152">
        <v>1.0680000000000001</v>
      </c>
      <c r="H152" s="4" t="s">
        <v>63</v>
      </c>
      <c r="I152" s="4" t="s">
        <v>61</v>
      </c>
      <c r="J152" s="19" t="s">
        <v>105</v>
      </c>
      <c r="K152" s="19">
        <v>6</v>
      </c>
      <c r="L152" s="24"/>
      <c r="M152" s="24"/>
      <c r="N152" s="24"/>
      <c r="O152" s="2"/>
      <c r="P152" s="2"/>
      <c r="Q152" s="2"/>
      <c r="R152" s="2"/>
      <c r="S152" s="22"/>
      <c r="T152" s="22"/>
      <c r="U152" s="22"/>
      <c r="V152" s="22"/>
      <c r="W152" s="22"/>
      <c r="X152" s="22"/>
      <c r="Y152" s="22"/>
      <c r="Z152" s="2"/>
      <c r="AA152" s="2"/>
      <c r="AC152" t="s">
        <v>85</v>
      </c>
      <c r="AD152" t="s">
        <v>87</v>
      </c>
    </row>
    <row r="153" spans="1:30" x14ac:dyDescent="0.35">
      <c r="A153" t="s">
        <v>100</v>
      </c>
      <c r="B153" s="19">
        <v>6</v>
      </c>
      <c r="C153" s="19" t="s">
        <v>129</v>
      </c>
      <c r="D153" s="19">
        <v>6</v>
      </c>
      <c r="E153" s="19" t="s">
        <v>128</v>
      </c>
      <c r="F153">
        <v>371</v>
      </c>
      <c r="G153">
        <v>1.5069999999999999</v>
      </c>
      <c r="H153" s="4" t="s">
        <v>63</v>
      </c>
      <c r="I153" s="4" t="s">
        <v>61</v>
      </c>
      <c r="J153" s="19" t="s">
        <v>106</v>
      </c>
      <c r="K153" s="19">
        <v>6</v>
      </c>
      <c r="L153" s="24"/>
      <c r="M153" s="24"/>
      <c r="N153" s="24"/>
      <c r="O153" s="2"/>
      <c r="P153" s="2"/>
      <c r="Q153" s="2"/>
      <c r="R153" s="2"/>
      <c r="S153" s="22"/>
      <c r="T153" s="22"/>
      <c r="U153" s="22"/>
      <c r="V153" s="22"/>
      <c r="W153" s="22"/>
      <c r="X153" s="22"/>
      <c r="Y153" s="22"/>
      <c r="Z153" s="2"/>
      <c r="AA153" s="2"/>
      <c r="AC153" t="s">
        <v>85</v>
      </c>
      <c r="AD153" t="s">
        <v>87</v>
      </c>
    </row>
    <row r="154" spans="1:30" x14ac:dyDescent="0.35">
      <c r="A154" t="s">
        <v>100</v>
      </c>
      <c r="B154" s="19">
        <v>7</v>
      </c>
      <c r="C154" s="19" t="s">
        <v>129</v>
      </c>
      <c r="D154" s="19">
        <v>6</v>
      </c>
      <c r="E154" s="19" t="s">
        <v>128</v>
      </c>
      <c r="F154">
        <v>177</v>
      </c>
      <c r="G154">
        <v>1.115</v>
      </c>
      <c r="H154" s="4" t="s">
        <v>63</v>
      </c>
      <c r="I154" s="4" t="s">
        <v>61</v>
      </c>
      <c r="J154" s="19" t="s">
        <v>107</v>
      </c>
      <c r="K154" s="19">
        <v>6</v>
      </c>
      <c r="L154" s="24"/>
      <c r="M154" s="24"/>
      <c r="N154" s="24"/>
      <c r="O154" s="2"/>
      <c r="P154" s="2"/>
      <c r="Q154" s="2"/>
      <c r="R154" s="2"/>
      <c r="S154" s="22"/>
      <c r="T154" s="22"/>
      <c r="U154" s="22"/>
      <c r="V154" s="22"/>
      <c r="W154" s="22"/>
      <c r="X154" s="22"/>
      <c r="Y154" s="22"/>
      <c r="Z154" s="2"/>
      <c r="AA154" s="2"/>
      <c r="AC154" t="s">
        <v>85</v>
      </c>
      <c r="AD154" t="s">
        <v>87</v>
      </c>
    </row>
    <row r="155" spans="1:30" x14ac:dyDescent="0.35">
      <c r="A155" t="s">
        <v>100</v>
      </c>
      <c r="B155" s="19">
        <v>8</v>
      </c>
      <c r="C155" s="19" t="s">
        <v>129</v>
      </c>
      <c r="D155" s="19">
        <v>6</v>
      </c>
      <c r="E155" s="19" t="s">
        <v>128</v>
      </c>
      <c r="F155">
        <v>289</v>
      </c>
      <c r="G155">
        <v>1.782</v>
      </c>
      <c r="H155" s="4" t="s">
        <v>63</v>
      </c>
      <c r="I155" s="4" t="s">
        <v>61</v>
      </c>
      <c r="J155" s="19" t="s">
        <v>108</v>
      </c>
      <c r="K155" s="19">
        <v>6</v>
      </c>
      <c r="L155" s="24"/>
      <c r="M155" s="24"/>
      <c r="N155" s="24"/>
      <c r="O155" s="2"/>
      <c r="P155" s="2"/>
      <c r="Q155" s="2"/>
      <c r="R155" s="2"/>
      <c r="S155" s="22"/>
      <c r="T155" s="22"/>
      <c r="U155" s="22"/>
      <c r="V155" s="22"/>
      <c r="W155" s="22"/>
      <c r="X155" s="22"/>
      <c r="Y155" s="22"/>
      <c r="Z155" s="2"/>
      <c r="AA155" s="2"/>
      <c r="AC155" t="s">
        <v>85</v>
      </c>
      <c r="AD155" t="s">
        <v>87</v>
      </c>
    </row>
    <row r="156" spans="1:30" x14ac:dyDescent="0.35">
      <c r="A156" t="s">
        <v>99</v>
      </c>
      <c r="B156" s="19">
        <v>1</v>
      </c>
      <c r="C156" s="19" t="s">
        <v>129</v>
      </c>
      <c r="D156" s="19">
        <v>6</v>
      </c>
      <c r="E156" s="19" t="s">
        <v>128</v>
      </c>
      <c r="F156">
        <v>318</v>
      </c>
      <c r="G156">
        <v>12.07</v>
      </c>
      <c r="H156" s="4" t="s">
        <v>63</v>
      </c>
      <c r="I156" s="4" t="s">
        <v>61</v>
      </c>
      <c r="J156" s="19" t="s">
        <v>109</v>
      </c>
      <c r="K156" s="19">
        <v>6</v>
      </c>
      <c r="L156" s="24"/>
      <c r="M156" s="24"/>
      <c r="N156" s="24"/>
      <c r="O156" s="2"/>
      <c r="P156" s="2"/>
      <c r="Q156" s="2"/>
      <c r="R156" s="2"/>
      <c r="S156" s="22"/>
      <c r="T156" s="22"/>
      <c r="U156" s="22"/>
      <c r="V156" s="22"/>
      <c r="W156" s="22"/>
      <c r="X156" s="22"/>
      <c r="Y156" s="22"/>
      <c r="Z156" s="2"/>
      <c r="AA156" s="2"/>
      <c r="AC156" t="s">
        <v>85</v>
      </c>
      <c r="AD156" t="s">
        <v>87</v>
      </c>
    </row>
    <row r="157" spans="1:30" x14ac:dyDescent="0.35">
      <c r="A157" t="s">
        <v>99</v>
      </c>
      <c r="B157" s="19">
        <v>2</v>
      </c>
      <c r="C157" s="19" t="s">
        <v>129</v>
      </c>
      <c r="D157" s="19">
        <v>6</v>
      </c>
      <c r="E157" s="19" t="s">
        <v>128</v>
      </c>
      <c r="F157">
        <v>235</v>
      </c>
      <c r="G157">
        <v>10.977</v>
      </c>
      <c r="H157" s="4" t="s">
        <v>63</v>
      </c>
      <c r="I157" s="4" t="s">
        <v>61</v>
      </c>
      <c r="J157" s="19" t="s">
        <v>110</v>
      </c>
      <c r="K157" s="19">
        <v>6</v>
      </c>
      <c r="L157" s="24"/>
      <c r="M157" s="24"/>
      <c r="N157" s="24"/>
      <c r="O157" s="2"/>
      <c r="P157" s="2"/>
      <c r="Q157" s="2"/>
      <c r="R157" s="2"/>
      <c r="S157" s="22"/>
      <c r="T157" s="22"/>
      <c r="U157" s="22"/>
      <c r="V157" s="22"/>
      <c r="W157" s="22"/>
      <c r="X157" s="22"/>
      <c r="Y157" s="22"/>
      <c r="AA157" s="2"/>
      <c r="AC157" t="s">
        <v>85</v>
      </c>
      <c r="AD157" t="s">
        <v>87</v>
      </c>
    </row>
    <row r="158" spans="1:30" x14ac:dyDescent="0.35">
      <c r="A158" t="s">
        <v>99</v>
      </c>
      <c r="B158" s="19">
        <v>3</v>
      </c>
      <c r="C158" s="19" t="s">
        <v>129</v>
      </c>
      <c r="D158" s="19">
        <v>6</v>
      </c>
      <c r="E158" s="19" t="s">
        <v>128</v>
      </c>
      <c r="F158">
        <v>328</v>
      </c>
      <c r="G158">
        <v>12.945</v>
      </c>
      <c r="H158" s="4" t="s">
        <v>63</v>
      </c>
      <c r="I158" s="4" t="s">
        <v>61</v>
      </c>
      <c r="J158" s="19" t="s">
        <v>111</v>
      </c>
      <c r="K158" s="19">
        <v>6</v>
      </c>
      <c r="L158" s="24"/>
      <c r="M158" s="24"/>
      <c r="N158" s="24"/>
      <c r="O158" s="2"/>
      <c r="P158" s="2"/>
      <c r="Q158" s="2"/>
      <c r="R158" s="2"/>
      <c r="S158" s="22"/>
      <c r="T158" s="22"/>
      <c r="U158" s="22"/>
      <c r="V158" s="22"/>
      <c r="W158" s="22"/>
      <c r="X158" s="22"/>
      <c r="Y158" s="22"/>
      <c r="AA158" s="2"/>
      <c r="AC158" t="s">
        <v>85</v>
      </c>
      <c r="AD158" t="s">
        <v>87</v>
      </c>
    </row>
    <row r="159" spans="1:30" x14ac:dyDescent="0.35">
      <c r="A159" t="s">
        <v>99</v>
      </c>
      <c r="B159" s="19">
        <v>4</v>
      </c>
      <c r="C159" s="19" t="s">
        <v>129</v>
      </c>
      <c r="D159" s="19">
        <v>6</v>
      </c>
      <c r="E159" s="19" t="s">
        <v>128</v>
      </c>
      <c r="F159">
        <v>291</v>
      </c>
      <c r="G159">
        <v>7.9219999999999997</v>
      </c>
      <c r="H159" s="4" t="s">
        <v>63</v>
      </c>
      <c r="I159" s="4" t="s">
        <v>61</v>
      </c>
      <c r="J159" s="19" t="s">
        <v>112</v>
      </c>
      <c r="K159" s="19">
        <v>6</v>
      </c>
      <c r="L159" s="24"/>
      <c r="M159" s="24"/>
      <c r="N159" s="24"/>
      <c r="O159" s="2"/>
      <c r="P159" s="2"/>
      <c r="Q159" s="2"/>
      <c r="R159" s="2"/>
      <c r="S159" s="22"/>
      <c r="T159" s="22"/>
      <c r="U159" s="22"/>
      <c r="V159" s="22"/>
      <c r="W159" s="22"/>
      <c r="X159" s="22"/>
      <c r="Y159" s="22"/>
      <c r="AA159" s="2"/>
      <c r="AC159" t="s">
        <v>85</v>
      </c>
      <c r="AD159" t="s">
        <v>87</v>
      </c>
    </row>
    <row r="160" spans="1:30" x14ac:dyDescent="0.35">
      <c r="A160" t="s">
        <v>99</v>
      </c>
      <c r="B160" s="19">
        <v>5</v>
      </c>
      <c r="C160" s="19" t="s">
        <v>129</v>
      </c>
      <c r="D160" s="19">
        <v>6</v>
      </c>
      <c r="E160" s="19" t="s">
        <v>128</v>
      </c>
      <c r="F160">
        <v>322</v>
      </c>
      <c r="G160">
        <v>8.3879999999999999</v>
      </c>
      <c r="H160" s="4" t="s">
        <v>63</v>
      </c>
      <c r="I160" s="4" t="s">
        <v>61</v>
      </c>
      <c r="J160" s="19" t="s">
        <v>113</v>
      </c>
      <c r="K160" s="19">
        <v>6</v>
      </c>
      <c r="L160" s="24"/>
      <c r="M160" s="24"/>
      <c r="N160" s="24"/>
      <c r="O160" s="2"/>
      <c r="P160" s="2"/>
      <c r="Q160" s="2"/>
      <c r="R160" s="2"/>
      <c r="S160" s="22"/>
      <c r="T160" s="22"/>
      <c r="U160" s="22"/>
      <c r="V160" s="22"/>
      <c r="W160" s="22"/>
      <c r="X160" s="22"/>
      <c r="Y160" s="22"/>
      <c r="AA160" s="2"/>
      <c r="AC160" t="s">
        <v>85</v>
      </c>
      <c r="AD160" t="s">
        <v>87</v>
      </c>
    </row>
    <row r="161" spans="1:30" x14ac:dyDescent="0.35">
      <c r="A161" t="s">
        <v>99</v>
      </c>
      <c r="B161" s="19">
        <v>6</v>
      </c>
      <c r="C161" s="19" t="s">
        <v>129</v>
      </c>
      <c r="D161" s="19">
        <v>6</v>
      </c>
      <c r="E161" s="19" t="s">
        <v>128</v>
      </c>
      <c r="F161" s="4">
        <v>344</v>
      </c>
      <c r="G161" s="4">
        <v>12.75</v>
      </c>
      <c r="H161" s="4" t="s">
        <v>63</v>
      </c>
      <c r="I161" s="19" t="s">
        <v>61</v>
      </c>
      <c r="J161" s="19" t="s">
        <v>114</v>
      </c>
      <c r="K161" s="19">
        <v>6</v>
      </c>
      <c r="L161" s="24"/>
      <c r="M161" s="24"/>
      <c r="N161" s="24"/>
      <c r="O161" s="2"/>
      <c r="P161" s="2"/>
      <c r="Q161" s="2"/>
      <c r="R161" s="2"/>
      <c r="S161" s="22"/>
      <c r="T161" s="22"/>
      <c r="U161" s="22"/>
      <c r="V161" s="22"/>
      <c r="W161" s="22"/>
      <c r="X161" s="22"/>
      <c r="Y161" s="22"/>
      <c r="AA161" s="2"/>
      <c r="AC161" t="s">
        <v>85</v>
      </c>
      <c r="AD161" t="s">
        <v>87</v>
      </c>
    </row>
    <row r="162" spans="1:30" x14ac:dyDescent="0.35">
      <c r="A162" t="s">
        <v>99</v>
      </c>
      <c r="B162" s="19">
        <v>7</v>
      </c>
      <c r="C162" s="19" t="s">
        <v>129</v>
      </c>
      <c r="D162" s="19">
        <v>6</v>
      </c>
      <c r="E162" s="19" t="s">
        <v>128</v>
      </c>
      <c r="F162" s="4">
        <v>264</v>
      </c>
      <c r="G162" s="4">
        <v>10.34</v>
      </c>
      <c r="H162" s="4" t="s">
        <v>63</v>
      </c>
      <c r="I162" s="19" t="s">
        <v>61</v>
      </c>
      <c r="J162" s="19" t="s">
        <v>115</v>
      </c>
      <c r="K162" s="19">
        <v>6</v>
      </c>
      <c r="L162" s="2"/>
      <c r="M162" s="2"/>
      <c r="N162" s="24"/>
      <c r="O162" s="2"/>
      <c r="P162" s="2"/>
      <c r="Q162" s="2"/>
      <c r="R162" s="2"/>
      <c r="S162" s="22"/>
      <c r="T162" s="22"/>
      <c r="U162" s="22"/>
      <c r="V162" s="22"/>
      <c r="W162" s="22"/>
      <c r="X162" s="22"/>
      <c r="Y162" s="22"/>
      <c r="AA162" s="2"/>
      <c r="AC162" t="s">
        <v>85</v>
      </c>
      <c r="AD162" t="s">
        <v>87</v>
      </c>
    </row>
    <row r="163" spans="1:30" x14ac:dyDescent="0.35">
      <c r="A163" t="s">
        <v>99</v>
      </c>
      <c r="B163" s="19">
        <v>8</v>
      </c>
      <c r="C163" s="19" t="s">
        <v>129</v>
      </c>
      <c r="D163" s="19">
        <v>6</v>
      </c>
      <c r="E163" s="19" t="s">
        <v>128</v>
      </c>
      <c r="F163" s="4">
        <v>253</v>
      </c>
      <c r="G163" s="4">
        <v>9.5139999999999993</v>
      </c>
      <c r="H163" s="4" t="s">
        <v>63</v>
      </c>
      <c r="I163" s="19" t="s">
        <v>61</v>
      </c>
      <c r="J163" s="19" t="s">
        <v>116</v>
      </c>
      <c r="K163" s="19">
        <v>6</v>
      </c>
      <c r="L163" s="2"/>
      <c r="M163" s="2"/>
      <c r="N163" s="24"/>
      <c r="O163" s="2"/>
      <c r="P163" s="2"/>
      <c r="Q163" s="2"/>
      <c r="R163" s="2"/>
      <c r="S163" s="22"/>
      <c r="T163" s="22"/>
      <c r="U163" s="22"/>
      <c r="V163" s="22"/>
      <c r="W163" s="22"/>
      <c r="X163" s="22"/>
      <c r="Y163" s="22"/>
      <c r="AA163" s="2"/>
      <c r="AC163" t="s">
        <v>85</v>
      </c>
      <c r="AD16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584C-2B54-415F-ADBC-F3822DDFF44F}">
  <dimension ref="A1:P57"/>
  <sheetViews>
    <sheetView zoomScale="90" zoomScaleNormal="90" workbookViewId="0">
      <selection activeCell="F16" sqref="F16"/>
    </sheetView>
  </sheetViews>
  <sheetFormatPr defaultRowHeight="14.5" x14ac:dyDescent="0.35"/>
  <cols>
    <col min="1" max="1" width="39" bestFit="1" customWidth="1"/>
    <col min="3" max="3" width="7.90625" customWidth="1"/>
    <col min="4" max="4" width="12.54296875" customWidth="1"/>
    <col min="5" max="5" width="10.81640625" customWidth="1"/>
    <col min="8" max="8" width="14.1796875" customWidth="1"/>
    <col min="10" max="10" width="17.453125" customWidth="1"/>
    <col min="11" max="11" width="31.81640625" customWidth="1"/>
    <col min="13" max="13" width="10.453125" customWidth="1"/>
  </cols>
  <sheetData>
    <row r="1" spans="1:15" s="11" customFormat="1" x14ac:dyDescent="0.35">
      <c r="A1" s="11" t="s">
        <v>0</v>
      </c>
      <c r="B1" s="11" t="s">
        <v>1</v>
      </c>
      <c r="C1" s="11" t="s">
        <v>131</v>
      </c>
      <c r="D1" s="11" t="s">
        <v>3</v>
      </c>
      <c r="E1" s="11" t="s">
        <v>135</v>
      </c>
      <c r="F1" s="11" t="s">
        <v>10</v>
      </c>
      <c r="G1" s="11" t="s">
        <v>12</v>
      </c>
      <c r="H1" s="11" t="s">
        <v>11</v>
      </c>
      <c r="I1" s="11" t="s">
        <v>76</v>
      </c>
      <c r="J1" s="11" t="s">
        <v>132</v>
      </c>
      <c r="N1" s="16"/>
    </row>
    <row r="2" spans="1:15" x14ac:dyDescent="0.35">
      <c r="A2" t="s">
        <v>4</v>
      </c>
      <c r="B2" s="2">
        <v>14.4</v>
      </c>
      <c r="C2" s="2">
        <v>7</v>
      </c>
      <c r="D2" s="2">
        <v>57</v>
      </c>
      <c r="E2" s="2">
        <f>100-B2-C2-D2</f>
        <v>21.599999999999994</v>
      </c>
      <c r="F2" s="2">
        <f>(B2/(SUM(B2:D2))*100)</f>
        <v>18.367346938775508</v>
      </c>
      <c r="G2" s="2">
        <f>(C2/(SUM(B2:D2))*100)</f>
        <v>8.928571428571427</v>
      </c>
      <c r="H2" s="2">
        <f>(D2/(SUM(B2:D2))*100)</f>
        <v>72.704081632653057</v>
      </c>
      <c r="I2" s="8" t="s">
        <v>83</v>
      </c>
      <c r="J2" t="s">
        <v>133</v>
      </c>
      <c r="L2" s="4"/>
      <c r="M2" s="3"/>
      <c r="N2" s="2"/>
    </row>
    <row r="3" spans="1:15" x14ac:dyDescent="0.35">
      <c r="A3" t="s">
        <v>5</v>
      </c>
      <c r="B3" s="2">
        <v>14.3</v>
      </c>
      <c r="C3" s="2">
        <v>23.3</v>
      </c>
      <c r="D3" s="2">
        <v>12.1</v>
      </c>
      <c r="E3" s="2">
        <f t="shared" ref="E3:E10" si="0">100-B3-C3-D3</f>
        <v>50.300000000000004</v>
      </c>
      <c r="F3" s="2">
        <f t="shared" ref="F3:F10" si="1">(B3/(SUM(B3:D3))*100)</f>
        <v>28.772635814889334</v>
      </c>
      <c r="G3" s="2">
        <f t="shared" ref="G3:G6" si="2">(C3/(SUM(B3:D3))*100)</f>
        <v>46.881287726358146</v>
      </c>
      <c r="H3" s="2">
        <f t="shared" ref="H3:H7" si="3">(D3/(SUM(B3:D3))*100)</f>
        <v>24.346076458752513</v>
      </c>
      <c r="I3" s="8" t="s">
        <v>77</v>
      </c>
      <c r="J3" s="26" t="s">
        <v>138</v>
      </c>
      <c r="N3" s="6"/>
      <c r="O3" s="6"/>
    </row>
    <row r="4" spans="1:15" x14ac:dyDescent="0.35">
      <c r="A4" t="s">
        <v>6</v>
      </c>
      <c r="B4" s="2">
        <v>86</v>
      </c>
      <c r="C4" s="2">
        <v>0.3</v>
      </c>
      <c r="D4" s="2">
        <v>8.1</v>
      </c>
      <c r="E4" s="2">
        <f t="shared" si="0"/>
        <v>5.6</v>
      </c>
      <c r="F4" s="2">
        <f t="shared" si="1"/>
        <v>91.101694915254257</v>
      </c>
      <c r="G4" s="2">
        <f t="shared" si="2"/>
        <v>0.31779661016949157</v>
      </c>
      <c r="H4" s="2">
        <f>(D4/(SUM(B4:D4))*100)</f>
        <v>8.5805084745762716</v>
      </c>
      <c r="I4" s="8" t="s">
        <v>77</v>
      </c>
      <c r="J4" t="s">
        <v>133</v>
      </c>
      <c r="L4" s="4"/>
      <c r="M4" s="3"/>
      <c r="N4" s="6"/>
      <c r="O4" s="6"/>
    </row>
    <row r="5" spans="1:15" x14ac:dyDescent="0.35">
      <c r="A5" t="s">
        <v>145</v>
      </c>
      <c r="B5" s="2">
        <v>14.0875</v>
      </c>
      <c r="C5" s="2">
        <f>37.60680619563/3</f>
        <v>12.53560206521</v>
      </c>
      <c r="D5" s="2">
        <v>50</v>
      </c>
      <c r="E5" s="2">
        <f>100-B5-C5-D5</f>
        <v>23.376897934789994</v>
      </c>
      <c r="F5" s="2">
        <f t="shared" si="1"/>
        <v>18.385447234974713</v>
      </c>
      <c r="G5" s="2">
        <f t="shared" si="2"/>
        <v>16.360081655975755</v>
      </c>
      <c r="H5" s="2">
        <f t="shared" si="3"/>
        <v>65.254471109049547</v>
      </c>
      <c r="I5" s="8" t="s">
        <v>77</v>
      </c>
      <c r="J5" t="s">
        <v>136</v>
      </c>
      <c r="L5" s="4"/>
      <c r="M5" s="3"/>
    </row>
    <row r="6" spans="1:15" x14ac:dyDescent="0.35">
      <c r="A6" t="s">
        <v>78</v>
      </c>
      <c r="B6" s="2">
        <v>62</v>
      </c>
      <c r="C6" s="2">
        <v>0.1</v>
      </c>
      <c r="D6" s="2">
        <v>18</v>
      </c>
      <c r="E6" s="2">
        <f t="shared" si="0"/>
        <v>19.899999999999999</v>
      </c>
      <c r="F6" s="2">
        <f t="shared" si="1"/>
        <v>77.403245942571786</v>
      </c>
      <c r="G6" s="2">
        <f t="shared" si="2"/>
        <v>0.1248439450686642</v>
      </c>
      <c r="H6" s="2">
        <f t="shared" si="3"/>
        <v>22.471910112359552</v>
      </c>
      <c r="I6" s="8" t="s">
        <v>77</v>
      </c>
      <c r="J6" t="s">
        <v>139</v>
      </c>
      <c r="L6" s="4"/>
      <c r="M6" s="3"/>
    </row>
    <row r="7" spans="1:15" s="27" customFormat="1" x14ac:dyDescent="0.35">
      <c r="A7" s="27" t="s">
        <v>80</v>
      </c>
      <c r="B7" s="28">
        <v>80</v>
      </c>
      <c r="C7" s="28">
        <f>0.777383680147423/3</f>
        <v>0.25912789338247433</v>
      </c>
      <c r="D7" s="28">
        <v>9</v>
      </c>
      <c r="E7" s="28">
        <f t="shared" si="0"/>
        <v>10.740872106617527</v>
      </c>
      <c r="F7" s="28">
        <f t="shared" si="1"/>
        <v>89.626687923231515</v>
      </c>
      <c r="G7" s="28">
        <f t="shared" ref="G7:G10" si="4">(C7/(SUM(B7:D7))*100)</f>
        <v>0.29030968540494295</v>
      </c>
      <c r="H7" s="28">
        <f t="shared" si="3"/>
        <v>10.083002391363545</v>
      </c>
      <c r="I7" s="28" t="s">
        <v>77</v>
      </c>
      <c r="J7" s="27" t="s">
        <v>140</v>
      </c>
      <c r="L7" s="29"/>
      <c r="M7" s="30"/>
    </row>
    <row r="8" spans="1:15" x14ac:dyDescent="0.35">
      <c r="A8" t="s">
        <v>7</v>
      </c>
      <c r="B8" s="2">
        <v>12.5</v>
      </c>
      <c r="C8" s="2">
        <v>2.2000000000000002</v>
      </c>
      <c r="D8" s="2">
        <v>57</v>
      </c>
      <c r="E8" s="2">
        <f t="shared" si="0"/>
        <v>28.299999999999997</v>
      </c>
      <c r="F8" s="2">
        <f t="shared" si="1"/>
        <v>17.433751743375172</v>
      </c>
      <c r="G8" s="2">
        <f t="shared" si="4"/>
        <v>3.0683403068340307</v>
      </c>
      <c r="H8" s="2">
        <f>(D8/(SUM(B8:D8))*100)</f>
        <v>79.497907949790786</v>
      </c>
      <c r="I8" s="8" t="s">
        <v>77</v>
      </c>
      <c r="J8" t="s">
        <v>137</v>
      </c>
      <c r="L8" s="4"/>
      <c r="M8" s="3"/>
    </row>
    <row r="9" spans="1:15" x14ac:dyDescent="0.35">
      <c r="A9" t="s">
        <v>8</v>
      </c>
      <c r="B9" s="2">
        <v>5.3</v>
      </c>
      <c r="C9" s="2">
        <v>2.2999999999999998</v>
      </c>
      <c r="D9" s="2">
        <v>62</v>
      </c>
      <c r="E9" s="2">
        <f t="shared" si="0"/>
        <v>30.400000000000006</v>
      </c>
      <c r="F9" s="2">
        <f t="shared" si="1"/>
        <v>7.6149425287356323</v>
      </c>
      <c r="G9" s="2">
        <f t="shared" si="4"/>
        <v>3.3045977011494254</v>
      </c>
      <c r="H9" s="2">
        <f t="shared" ref="H9:H10" si="5">(D9/(SUM(B9:D9))*100)</f>
        <v>89.080459770114956</v>
      </c>
      <c r="I9" s="17" t="s">
        <v>75</v>
      </c>
      <c r="J9" t="s">
        <v>141</v>
      </c>
      <c r="L9" s="4"/>
      <c r="M9" s="3"/>
    </row>
    <row r="10" spans="1:15" x14ac:dyDescent="0.35">
      <c r="A10" t="s">
        <v>9</v>
      </c>
      <c r="B10" s="2">
        <v>0.5</v>
      </c>
      <c r="C10" s="2">
        <v>0.1</v>
      </c>
      <c r="D10" s="2">
        <v>85</v>
      </c>
      <c r="E10" s="2">
        <f t="shared" si="0"/>
        <v>14.400000000000006</v>
      </c>
      <c r="F10" s="2">
        <f t="shared" si="1"/>
        <v>0.5841121495327104</v>
      </c>
      <c r="G10" s="2">
        <f t="shared" si="4"/>
        <v>0.11682242990654207</v>
      </c>
      <c r="H10" s="2">
        <f t="shared" si="5"/>
        <v>99.299065420560751</v>
      </c>
      <c r="I10" s="17" t="s">
        <v>75</v>
      </c>
      <c r="J10" t="s">
        <v>142</v>
      </c>
      <c r="L10" s="14"/>
      <c r="M10" s="3"/>
    </row>
    <row r="11" spans="1:15" x14ac:dyDescent="0.35">
      <c r="A11" t="s">
        <v>65</v>
      </c>
      <c r="B11" s="2">
        <v>30.925000000000001</v>
      </c>
      <c r="C11" s="2">
        <v>5.0999999999999996</v>
      </c>
      <c r="D11" s="2">
        <v>15.2</v>
      </c>
      <c r="E11" s="2">
        <f>100-B11-C11-D11</f>
        <v>48.775000000000006</v>
      </c>
      <c r="F11" s="2">
        <f t="shared" ref="F11:F19" si="6">(B11/(SUM(B11:D11))*100)</f>
        <v>60.370912640312355</v>
      </c>
      <c r="G11" s="2">
        <f t="shared" ref="G11:G16" si="7">(C11/(SUM(B11:D11))*100)</f>
        <v>9.9560761346998543</v>
      </c>
      <c r="H11" s="2">
        <f>(D11/(SUM(B11:D11))*100)</f>
        <v>29.6730112249878</v>
      </c>
      <c r="I11" s="17" t="s">
        <v>83</v>
      </c>
      <c r="J11" t="s">
        <v>143</v>
      </c>
      <c r="L11" s="14"/>
      <c r="M11" s="3"/>
    </row>
    <row r="12" spans="1:15" x14ac:dyDescent="0.35">
      <c r="A12" t="s">
        <v>74</v>
      </c>
      <c r="B12" s="2">
        <v>43.2</v>
      </c>
      <c r="C12" s="2">
        <v>1.5</v>
      </c>
      <c r="D12" s="2">
        <v>30</v>
      </c>
      <c r="E12" s="2">
        <f>100-B12-C12-D12</f>
        <v>25.299999999999997</v>
      </c>
      <c r="F12" s="2">
        <f t="shared" si="6"/>
        <v>57.831325301204814</v>
      </c>
      <c r="G12" s="2">
        <f t="shared" si="7"/>
        <v>2.0080321285140563</v>
      </c>
      <c r="H12" s="2">
        <f>(D12/(SUM(B12:D12))*100)</f>
        <v>40.160642570281126</v>
      </c>
      <c r="I12" s="8" t="s">
        <v>77</v>
      </c>
      <c r="J12" t="s">
        <v>142</v>
      </c>
      <c r="L12" s="14"/>
      <c r="M12" s="3"/>
    </row>
    <row r="13" spans="1:15" x14ac:dyDescent="0.35">
      <c r="A13" t="s">
        <v>79</v>
      </c>
      <c r="B13" s="2">
        <v>47</v>
      </c>
      <c r="C13" s="2">
        <v>5</v>
      </c>
      <c r="D13" s="2">
        <v>40</v>
      </c>
      <c r="E13" s="2">
        <f>100-B13-C13-D13</f>
        <v>8</v>
      </c>
      <c r="F13" s="2">
        <f t="shared" si="6"/>
        <v>51.086956521739133</v>
      </c>
      <c r="G13" s="2">
        <f>(C13/(SUM(B13:D13))*100)</f>
        <v>5.4347826086956523</v>
      </c>
      <c r="H13" s="2">
        <f>(D13/(SUM(B13:D13))*100)</f>
        <v>43.478260869565219</v>
      </c>
      <c r="I13" s="8" t="s">
        <v>77</v>
      </c>
      <c r="J13" s="31" t="s">
        <v>144</v>
      </c>
      <c r="O13" s="6"/>
    </row>
    <row r="14" spans="1:15" x14ac:dyDescent="0.35">
      <c r="A14" t="s">
        <v>14</v>
      </c>
      <c r="B14" s="2">
        <f>4/5*B2+(1/5)*B31</f>
        <v>11.520000000000001</v>
      </c>
      <c r="C14" s="2">
        <f>4/5*C2+1/5*C31</f>
        <v>24.000000000000004</v>
      </c>
      <c r="D14" s="2">
        <f>4/5*D2+1/5*D31</f>
        <v>45.6</v>
      </c>
      <c r="E14" s="2">
        <f>4/5*E2+1/5*E31</f>
        <v>18.88</v>
      </c>
      <c r="F14" s="2">
        <f t="shared" si="6"/>
        <v>14.201183431952662</v>
      </c>
      <c r="G14" s="2">
        <f t="shared" ref="G14:H14" si="8">(C14/(SUM(C14:E14))*100)</f>
        <v>27.124773960217002</v>
      </c>
      <c r="H14" s="2">
        <f t="shared" si="8"/>
        <v>57.955406885099933</v>
      </c>
      <c r="I14" s="17" t="s">
        <v>75</v>
      </c>
      <c r="L14" s="14"/>
      <c r="M14" s="3"/>
    </row>
    <row r="15" spans="1:15" x14ac:dyDescent="0.35">
      <c r="A15" t="s">
        <v>15</v>
      </c>
      <c r="B15" s="2">
        <f>2/3*B2+1/3*B4</f>
        <v>38.266666666666666</v>
      </c>
      <c r="C15" s="2">
        <f>2/3*C2+1/3*C4</f>
        <v>4.7666666666666657</v>
      </c>
      <c r="D15" s="2">
        <f>2/3*D2+1/3*D4</f>
        <v>40.700000000000003</v>
      </c>
      <c r="E15" s="2">
        <f>100-B15-C15-D15</f>
        <v>16.266666666666666</v>
      </c>
      <c r="F15" s="2">
        <f t="shared" si="6"/>
        <v>45.70063694267516</v>
      </c>
      <c r="G15" s="2">
        <f t="shared" si="7"/>
        <v>5.6926751592356677</v>
      </c>
      <c r="H15" s="2">
        <f>(D15/(SUM(B15:D15))*100)</f>
        <v>48.606687898089177</v>
      </c>
      <c r="I15" s="17" t="s">
        <v>75</v>
      </c>
    </row>
    <row r="16" spans="1:15" x14ac:dyDescent="0.35">
      <c r="A16" t="s">
        <v>13</v>
      </c>
      <c r="B16" s="2">
        <f>1/2*B2+1/2*B4</f>
        <v>50.2</v>
      </c>
      <c r="C16" s="2">
        <f>1/2*C2+1/2*C4</f>
        <v>3.65</v>
      </c>
      <c r="D16" s="2">
        <f>1/2*D2+1/2*D4</f>
        <v>32.549999999999997</v>
      </c>
      <c r="E16" s="2">
        <f>100-B16-C16-D16</f>
        <v>13.600000000000001</v>
      </c>
      <c r="F16" s="2">
        <f t="shared" si="6"/>
        <v>58.101851851851848</v>
      </c>
      <c r="G16" s="2">
        <f t="shared" si="7"/>
        <v>4.2245370370370363</v>
      </c>
      <c r="H16" s="2">
        <f>(D16/(SUM(B16:D16))*100)</f>
        <v>37.673611111111107</v>
      </c>
      <c r="I16" s="17" t="s">
        <v>75</v>
      </c>
      <c r="O16" s="6"/>
    </row>
    <row r="17" spans="1:16" x14ac:dyDescent="0.35">
      <c r="A17" t="s">
        <v>18</v>
      </c>
      <c r="B17" s="2">
        <f>2/3*B3+1/3*B31</f>
        <v>9.5333333333333332</v>
      </c>
      <c r="C17" s="2">
        <f>2/3*C3+1/3*C31</f>
        <v>46.199999999999996</v>
      </c>
      <c r="D17" s="2">
        <f>2/3*D3+1/3*D31</f>
        <v>8.0666666666666664</v>
      </c>
      <c r="E17" s="2">
        <f>2/3*E3+1/3*E31</f>
        <v>36.199999999999996</v>
      </c>
      <c r="F17" s="2">
        <f t="shared" si="6"/>
        <v>14.942528735632186</v>
      </c>
      <c r="G17" s="2">
        <f>(C17/(SUM(B17:D17))*100)</f>
        <v>72.41379310344827</v>
      </c>
      <c r="H17" s="2">
        <f>(D17/(SUM(B17:D17))*100)</f>
        <v>12.643678160919542</v>
      </c>
      <c r="I17" s="17" t="s">
        <v>75</v>
      </c>
      <c r="O17" s="6"/>
    </row>
    <row r="18" spans="1:16" x14ac:dyDescent="0.35">
      <c r="A18" t="s">
        <v>16</v>
      </c>
      <c r="B18" s="2">
        <f>2/3*B3+1/3*B4</f>
        <v>38.199999999999996</v>
      </c>
      <c r="C18" s="2">
        <f>2/3*C3+1/3*C4</f>
        <v>15.633333333333333</v>
      </c>
      <c r="D18" s="2">
        <f>2/3*D3+1/3*D4</f>
        <v>10.766666666666666</v>
      </c>
      <c r="E18" s="2">
        <f>100-B18-C18-D18</f>
        <v>35.400000000000006</v>
      </c>
      <c r="F18" s="2">
        <f t="shared" si="6"/>
        <v>59.133126934984517</v>
      </c>
      <c r="G18" s="2">
        <f>(C18/(SUM(B18:D18))*100)</f>
        <v>24.200206398348815</v>
      </c>
      <c r="H18" s="2">
        <f>(D18/(SUM(B18:D18))*100)</f>
        <v>16.666666666666664</v>
      </c>
      <c r="I18" s="17" t="s">
        <v>75</v>
      </c>
      <c r="O18" s="6"/>
    </row>
    <row r="19" spans="1:16" x14ac:dyDescent="0.35">
      <c r="A19" t="s">
        <v>17</v>
      </c>
      <c r="B19" s="2">
        <f>1/3*B3+2/3*B4</f>
        <v>62.099999999999994</v>
      </c>
      <c r="C19" s="2">
        <f>1/3*C3+2/3*C4</f>
        <v>7.9666666666666668</v>
      </c>
      <c r="D19" s="2">
        <f>1/3*D3+2/3*D4</f>
        <v>9.4333333333333336</v>
      </c>
      <c r="E19" s="2">
        <f>100-B19-C19-D19</f>
        <v>20.500000000000004</v>
      </c>
      <c r="F19" s="2">
        <f t="shared" si="6"/>
        <v>78.113207547169807</v>
      </c>
      <c r="G19" s="2">
        <f>(C19/(SUM(B19:D19))*100)</f>
        <v>10.020964360587001</v>
      </c>
      <c r="H19" s="2">
        <f>(D19/(SUM(B19:D19))*100)</f>
        <v>11.865828092243188</v>
      </c>
      <c r="I19" s="17" t="s">
        <v>75</v>
      </c>
      <c r="O19" s="6"/>
    </row>
    <row r="20" spans="1:16" x14ac:dyDescent="0.35">
      <c r="A20" t="s">
        <v>69</v>
      </c>
      <c r="E20" s="2"/>
      <c r="I20" s="8" t="s">
        <v>77</v>
      </c>
      <c r="O20" s="6"/>
    </row>
    <row r="21" spans="1:16" x14ac:dyDescent="0.35">
      <c r="A21" t="s">
        <v>70</v>
      </c>
      <c r="E21" s="2"/>
      <c r="I21" s="8" t="s">
        <v>77</v>
      </c>
    </row>
    <row r="22" spans="1:16" x14ac:dyDescent="0.35">
      <c r="A22" t="s">
        <v>73</v>
      </c>
      <c r="E22" s="2"/>
      <c r="I22" s="8" t="s">
        <v>77</v>
      </c>
      <c r="O22" s="6"/>
    </row>
    <row r="23" spans="1:16" x14ac:dyDescent="0.35">
      <c r="A23" t="s">
        <v>72</v>
      </c>
      <c r="B23" s="7"/>
      <c r="C23" s="3"/>
      <c r="D23" s="3"/>
      <c r="E23" s="2"/>
      <c r="F23" s="3"/>
      <c r="G23" s="3"/>
      <c r="H23" s="2"/>
      <c r="I23" s="8" t="s">
        <v>77</v>
      </c>
      <c r="O23" s="6"/>
    </row>
    <row r="24" spans="1:16" x14ac:dyDescent="0.35">
      <c r="A24" t="s">
        <v>71</v>
      </c>
      <c r="E24" s="2"/>
      <c r="I24" s="8" t="s">
        <v>77</v>
      </c>
      <c r="O24" s="6"/>
    </row>
    <row r="25" spans="1:16" x14ac:dyDescent="0.35">
      <c r="A25" t="s">
        <v>100</v>
      </c>
      <c r="D25" s="2"/>
      <c r="E25" s="2"/>
      <c r="I25" s="8" t="s">
        <v>77</v>
      </c>
      <c r="O25" s="6"/>
    </row>
    <row r="26" spans="1:16" x14ac:dyDescent="0.35">
      <c r="A26" t="s">
        <v>99</v>
      </c>
      <c r="E26" s="2"/>
      <c r="I26" s="8" t="s">
        <v>77</v>
      </c>
      <c r="O26" s="6"/>
    </row>
    <row r="27" spans="1:16" x14ac:dyDescent="0.35">
      <c r="A27" t="s">
        <v>120</v>
      </c>
      <c r="B27" s="23">
        <f>(B2*0.5+B5*0.5)</f>
        <v>14.24375</v>
      </c>
      <c r="C27" s="23">
        <f>SUM(C2*0.5+C5*0.5)</f>
        <v>9.767801032605</v>
      </c>
      <c r="D27" s="23">
        <f>SUM(D2*0.5+D5*0.5)</f>
        <v>53.5</v>
      </c>
      <c r="E27" s="2">
        <f>100-B27-C27-D27</f>
        <v>22.488448967394987</v>
      </c>
      <c r="F27" s="2">
        <f>(B27/(SUM(B27:D27))*100)</f>
        <v>18.376293352726758</v>
      </c>
      <c r="G27" s="2">
        <f>(C27/(SUM(B27:D27))*100)</f>
        <v>12.601736002542646</v>
      </c>
      <c r="H27" s="2">
        <f>(D27/(SUM(B27:D27))*100)</f>
        <v>69.021970644730601</v>
      </c>
      <c r="I27" s="8" t="s">
        <v>77</v>
      </c>
      <c r="L27" s="4"/>
      <c r="M27" s="4"/>
      <c r="O27" s="6"/>
      <c r="P27" s="6"/>
    </row>
    <row r="28" spans="1:16" x14ac:dyDescent="0.35">
      <c r="A28" t="s">
        <v>122</v>
      </c>
      <c r="B28" s="23">
        <f>SUM(B2*0.5+B11*0.5)</f>
        <v>22.662500000000001</v>
      </c>
      <c r="C28" s="23">
        <f>SUM(C2*0.5+C11*0.5)</f>
        <v>6.05</v>
      </c>
      <c r="D28" s="23">
        <f>SUM(D2*0.5+D11*0.5)</f>
        <v>36.1</v>
      </c>
      <c r="E28" s="2">
        <f>100-B28-C28-D28</f>
        <v>35.187500000000007</v>
      </c>
      <c r="F28" s="2">
        <f t="shared" ref="F28:F31" si="9">(B28/(SUM(B28:D28))*100)</f>
        <v>34.966248794599807</v>
      </c>
      <c r="G28" s="2">
        <f t="shared" ref="G28:G31" si="10">(C28/(SUM(B28:D28))*100)</f>
        <v>9.3346190935390556</v>
      </c>
      <c r="H28" s="2">
        <f t="shared" ref="H28:H31" si="11">(D28/(SUM(B28:D28))*100)</f>
        <v>55.69913211186114</v>
      </c>
      <c r="I28" s="8" t="s">
        <v>77</v>
      </c>
      <c r="O28" s="6"/>
    </row>
    <row r="29" spans="1:16" x14ac:dyDescent="0.35">
      <c r="A29" t="s">
        <v>121</v>
      </c>
      <c r="B29" s="23">
        <f>SUM(B2*0.5+B3*0.5)</f>
        <v>14.350000000000001</v>
      </c>
      <c r="C29" s="23">
        <f>SUM(C2*0.5+C3*0.5)</f>
        <v>15.15</v>
      </c>
      <c r="D29" s="23">
        <f>SUM(D2*0.5+D3*0.5)</f>
        <v>34.549999999999997</v>
      </c>
      <c r="E29" s="2">
        <f>100-B29-C29-D29</f>
        <v>35.950000000000003</v>
      </c>
      <c r="F29" s="2">
        <f t="shared" si="9"/>
        <v>22.404371584699454</v>
      </c>
      <c r="G29" s="2">
        <f t="shared" si="10"/>
        <v>23.653395784543328</v>
      </c>
      <c r="H29" s="2">
        <f t="shared" si="11"/>
        <v>53.942232630757218</v>
      </c>
      <c r="I29" s="8" t="s">
        <v>77</v>
      </c>
    </row>
    <row r="30" spans="1:16" x14ac:dyDescent="0.35">
      <c r="A30" t="s">
        <v>123</v>
      </c>
      <c r="B30" s="23">
        <f>SUM(B2*(1/3)+B11*(1/3)+B3*(1/3))</f>
        <v>19.875</v>
      </c>
      <c r="C30" s="23">
        <f>SUM(C2*(1/3)+C11*(1/3)+C3*(1/3))</f>
        <v>11.8</v>
      </c>
      <c r="D30" s="23">
        <f>SUM(D2*(1/3)+D11*(1/3)+D3*(1/3))</f>
        <v>28.1</v>
      </c>
      <c r="E30" s="2">
        <f>100-B30-C30-D30</f>
        <v>40.225000000000001</v>
      </c>
      <c r="F30" s="2">
        <f t="shared" si="9"/>
        <v>33.249686323713924</v>
      </c>
      <c r="G30" s="2">
        <f>(C30/(SUM(B30:D30))*100)</f>
        <v>19.740694270179841</v>
      </c>
      <c r="H30" s="2">
        <f t="shared" si="11"/>
        <v>47.009619406106232</v>
      </c>
      <c r="I30" s="8" t="s">
        <v>77</v>
      </c>
    </row>
    <row r="31" spans="1:16" x14ac:dyDescent="0.35">
      <c r="A31" t="s">
        <v>134</v>
      </c>
      <c r="B31" s="32">
        <v>0</v>
      </c>
      <c r="C31" s="32">
        <v>92</v>
      </c>
      <c r="D31" s="32">
        <v>0</v>
      </c>
      <c r="E31">
        <v>8</v>
      </c>
      <c r="F31">
        <f t="shared" si="9"/>
        <v>0</v>
      </c>
      <c r="G31">
        <f t="shared" si="10"/>
        <v>100</v>
      </c>
      <c r="H31">
        <f t="shared" si="11"/>
        <v>0</v>
      </c>
      <c r="J31" t="s">
        <v>133</v>
      </c>
    </row>
    <row r="33" spans="2:16" x14ac:dyDescent="0.35">
      <c r="B33" s="4"/>
      <c r="D33" s="1"/>
      <c r="E33" s="2"/>
    </row>
    <row r="34" spans="2:16" x14ac:dyDescent="0.35">
      <c r="B34" s="4"/>
      <c r="E34" s="2"/>
    </row>
    <row r="35" spans="2:16" x14ac:dyDescent="0.35">
      <c r="B35" s="4"/>
      <c r="O35" s="6"/>
      <c r="P35" s="6"/>
    </row>
    <row r="36" spans="2:16" x14ac:dyDescent="0.35">
      <c r="B36" s="4"/>
    </row>
    <row r="37" spans="2:16" x14ac:dyDescent="0.35">
      <c r="B37" s="4"/>
    </row>
    <row r="38" spans="2:16" x14ac:dyDescent="0.35">
      <c r="B38" s="4"/>
    </row>
    <row r="39" spans="2:16" x14ac:dyDescent="0.35">
      <c r="B39" s="4"/>
    </row>
    <row r="40" spans="2:16" x14ac:dyDescent="0.35">
      <c r="B40" s="4"/>
    </row>
    <row r="41" spans="2:16" x14ac:dyDescent="0.35">
      <c r="B41" s="4"/>
    </row>
    <row r="42" spans="2:16" x14ac:dyDescent="0.35">
      <c r="B42" s="4"/>
    </row>
    <row r="43" spans="2:16" x14ac:dyDescent="0.35">
      <c r="B43" s="4"/>
      <c r="O43" s="6"/>
      <c r="P43" s="6"/>
    </row>
    <row r="45" spans="2:16" x14ac:dyDescent="0.35">
      <c r="C45" s="3"/>
      <c r="D45" s="3"/>
      <c r="E45" s="3"/>
      <c r="G45" s="2"/>
      <c r="H45" s="2"/>
    </row>
    <row r="46" spans="2:16" x14ac:dyDescent="0.35">
      <c r="C46" s="3"/>
      <c r="D46" s="3"/>
      <c r="E46" s="3"/>
      <c r="G46" s="2"/>
      <c r="H46" s="2"/>
    </row>
    <row r="47" spans="2:16" x14ac:dyDescent="0.35">
      <c r="C47" s="3"/>
      <c r="D47" s="3"/>
      <c r="E47" s="3"/>
      <c r="G47" s="2"/>
      <c r="H47" s="2"/>
    </row>
    <row r="48" spans="2:16" x14ac:dyDescent="0.35">
      <c r="C48" s="3"/>
      <c r="D48" s="3"/>
      <c r="E48" s="3"/>
      <c r="G48" s="2"/>
      <c r="H48" s="2"/>
    </row>
    <row r="49" spans="3:16" x14ac:dyDescent="0.35">
      <c r="C49" s="3"/>
      <c r="D49" s="3"/>
      <c r="E49" s="3"/>
      <c r="G49" s="2"/>
      <c r="H49" s="2"/>
    </row>
    <row r="50" spans="3:16" x14ac:dyDescent="0.35">
      <c r="C50" s="3"/>
      <c r="D50" s="3"/>
      <c r="E50" s="3"/>
      <c r="G50" s="2"/>
      <c r="H50" s="2"/>
    </row>
    <row r="51" spans="3:16" x14ac:dyDescent="0.35">
      <c r="C51" s="3"/>
      <c r="D51" s="3"/>
      <c r="E51" s="3"/>
      <c r="G51" s="2"/>
      <c r="H51" s="2"/>
      <c r="I51" s="2"/>
      <c r="O51" s="6"/>
      <c r="P51" s="6"/>
    </row>
    <row r="52" spans="3:16" x14ac:dyDescent="0.35">
      <c r="I52" s="2"/>
    </row>
    <row r="53" spans="3:16" x14ac:dyDescent="0.35">
      <c r="I53" s="2"/>
    </row>
    <row r="54" spans="3:16" x14ac:dyDescent="0.35">
      <c r="I54" s="2"/>
    </row>
    <row r="55" spans="3:16" x14ac:dyDescent="0.35">
      <c r="I55" s="2"/>
    </row>
    <row r="56" spans="3:16" x14ac:dyDescent="0.35">
      <c r="I56" s="2"/>
    </row>
    <row r="57" spans="3:16" x14ac:dyDescent="0.35">
      <c r="I57" s="2"/>
    </row>
  </sheetData>
  <sortState xmlns:xlrd2="http://schemas.microsoft.com/office/spreadsheetml/2017/richdata2" ref="A27:A43">
    <sortCondition ref="A27:A4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1BC7-638B-4B82-ACAD-73379BB6135C}">
  <dimension ref="A1:W55"/>
  <sheetViews>
    <sheetView topLeftCell="A5" zoomScale="80" zoomScaleNormal="80" workbookViewId="0">
      <selection activeCell="H5" sqref="H5:H28"/>
    </sheetView>
  </sheetViews>
  <sheetFormatPr defaultRowHeight="14.5" x14ac:dyDescent="0.35"/>
  <sheetData>
    <row r="1" spans="1:23" x14ac:dyDescent="0.35">
      <c r="B1" t="s">
        <v>30</v>
      </c>
      <c r="C1" t="s">
        <v>31</v>
      </c>
      <c r="D1" t="s">
        <v>32</v>
      </c>
      <c r="E1" t="s">
        <v>33</v>
      </c>
      <c r="H1" t="s">
        <v>40</v>
      </c>
    </row>
    <row r="2" spans="1:23" x14ac:dyDescent="0.35">
      <c r="A2" t="s">
        <v>34</v>
      </c>
      <c r="B2">
        <v>2</v>
      </c>
      <c r="D2">
        <v>58.423819342838129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</row>
    <row r="3" spans="1:23" x14ac:dyDescent="0.35">
      <c r="A3" t="s">
        <v>35</v>
      </c>
      <c r="B3">
        <v>3</v>
      </c>
      <c r="D3">
        <v>37.784721254188447</v>
      </c>
    </row>
    <row r="4" spans="1:23" x14ac:dyDescent="0.35">
      <c r="A4" t="s">
        <v>36</v>
      </c>
      <c r="B4">
        <v>4</v>
      </c>
      <c r="D4">
        <v>68.967375435179704</v>
      </c>
      <c r="U4" s="11" t="s">
        <v>52</v>
      </c>
      <c r="V4" t="s">
        <v>53</v>
      </c>
    </row>
    <row r="5" spans="1:23" x14ac:dyDescent="0.35">
      <c r="A5" t="s">
        <v>25</v>
      </c>
      <c r="B5">
        <v>2</v>
      </c>
      <c r="D5">
        <v>2.3535802216349366</v>
      </c>
      <c r="H5" t="s">
        <v>21</v>
      </c>
      <c r="I5">
        <v>0.2013390434205361</v>
      </c>
      <c r="J5">
        <v>15.082471525589959</v>
      </c>
      <c r="K5">
        <v>0.13454906469396713</v>
      </c>
      <c r="L5">
        <v>7.7539595654988887</v>
      </c>
      <c r="M5">
        <v>8.9433379052909121</v>
      </c>
      <c r="N5">
        <v>18.624051622263092</v>
      </c>
      <c r="O5">
        <v>1.9084167352349148</v>
      </c>
      <c r="P5">
        <v>3.2116819541528967</v>
      </c>
      <c r="Q5">
        <v>0.49395521085701494</v>
      </c>
      <c r="R5">
        <v>0.80878732501923922</v>
      </c>
      <c r="S5">
        <v>0.27698758633309428</v>
      </c>
      <c r="T5">
        <v>57.439537538354514</v>
      </c>
      <c r="U5" s="6">
        <v>0.98428180448361169</v>
      </c>
      <c r="V5">
        <f>SUM(T5:U5)</f>
        <v>58.423819342838129</v>
      </c>
      <c r="W5" t="s">
        <v>21</v>
      </c>
    </row>
    <row r="6" spans="1:23" x14ac:dyDescent="0.35">
      <c r="A6" t="s">
        <v>25</v>
      </c>
      <c r="B6">
        <v>3</v>
      </c>
      <c r="D6">
        <v>1.6323787708052562</v>
      </c>
      <c r="H6" t="s">
        <v>21</v>
      </c>
      <c r="I6">
        <v>0.18681669810696536</v>
      </c>
      <c r="J6">
        <v>8.9010205856739262</v>
      </c>
      <c r="K6">
        <v>0.24267625909874643</v>
      </c>
      <c r="L6">
        <v>5.3319796699770112</v>
      </c>
      <c r="M6">
        <v>5.57189880734584</v>
      </c>
      <c r="N6">
        <v>10.807173724332452</v>
      </c>
      <c r="O6">
        <v>1.5503450901418669</v>
      </c>
      <c r="P6">
        <v>2.2276656579980276</v>
      </c>
      <c r="Q6">
        <v>0.47469096849885328</v>
      </c>
      <c r="R6">
        <v>0.78555314659907161</v>
      </c>
      <c r="S6">
        <v>0.32747805651222106</v>
      </c>
      <c r="T6">
        <v>36.407298664284987</v>
      </c>
      <c r="U6" s="6">
        <v>1.3774225899034591</v>
      </c>
      <c r="V6">
        <f t="shared" ref="V6:V28" si="0">SUM(T6:U6)</f>
        <v>37.784721254188447</v>
      </c>
      <c r="W6" t="s">
        <v>21</v>
      </c>
    </row>
    <row r="7" spans="1:23" x14ac:dyDescent="0.35">
      <c r="A7" t="s">
        <v>25</v>
      </c>
      <c r="B7">
        <v>4</v>
      </c>
      <c r="D7">
        <v>1.8479750599973086</v>
      </c>
      <c r="H7" t="s">
        <v>21</v>
      </c>
      <c r="I7">
        <v>0.16607553303951278</v>
      </c>
      <c r="J7">
        <v>19.738387235223879</v>
      </c>
      <c r="K7">
        <v>0.11941925346016331</v>
      </c>
      <c r="L7">
        <v>8.6165095157517033</v>
      </c>
      <c r="M7">
        <v>9.7642394672878154</v>
      </c>
      <c r="N7">
        <v>20.514646540575153</v>
      </c>
      <c r="O7">
        <v>2.5719883616983896</v>
      </c>
      <c r="P7">
        <v>4.2953316059928293</v>
      </c>
      <c r="Q7">
        <v>0.63757071162838552</v>
      </c>
      <c r="R7">
        <v>1.1058757251465254</v>
      </c>
      <c r="S7">
        <v>0.4162374676117862</v>
      </c>
      <c r="T7">
        <v>67.946281417416145</v>
      </c>
      <c r="U7" s="6">
        <v>1.0210940177635579</v>
      </c>
      <c r="V7">
        <f t="shared" si="0"/>
        <v>68.967375435179704</v>
      </c>
      <c r="W7" t="s">
        <v>21</v>
      </c>
    </row>
    <row r="8" spans="1:23" x14ac:dyDescent="0.35">
      <c r="A8" t="s">
        <v>22</v>
      </c>
      <c r="B8">
        <v>2</v>
      </c>
      <c r="D8">
        <v>11.289980321802185</v>
      </c>
      <c r="H8" t="s">
        <v>25</v>
      </c>
      <c r="I8">
        <v>6.2886983432943341E-2</v>
      </c>
      <c r="J8">
        <v>0.51569750958251848</v>
      </c>
      <c r="K8">
        <v>0.14332897472598286</v>
      </c>
      <c r="L8">
        <v>0.18925132522489577</v>
      </c>
      <c r="M8">
        <v>0.97933152212804975</v>
      </c>
      <c r="N8">
        <v>0.25352499995854533</v>
      </c>
      <c r="O8">
        <v>1.0470037340445323E-2</v>
      </c>
      <c r="P8">
        <v>0</v>
      </c>
      <c r="Q8">
        <v>0</v>
      </c>
      <c r="R8">
        <v>0</v>
      </c>
      <c r="S8">
        <v>0</v>
      </c>
      <c r="T8">
        <v>2.1544913523933804</v>
      </c>
      <c r="U8" s="6">
        <v>0.19908886924155608</v>
      </c>
      <c r="V8">
        <f t="shared" si="0"/>
        <v>2.3535802216349366</v>
      </c>
      <c r="W8" t="s">
        <v>25</v>
      </c>
    </row>
    <row r="9" spans="1:23" x14ac:dyDescent="0.35">
      <c r="A9" t="s">
        <v>22</v>
      </c>
      <c r="B9">
        <v>3</v>
      </c>
      <c r="D9">
        <v>10.654542613354501</v>
      </c>
      <c r="H9" t="s">
        <v>25</v>
      </c>
      <c r="I9">
        <v>1.8269890236612886E-2</v>
      </c>
      <c r="J9">
        <v>0.34963805245544721</v>
      </c>
      <c r="K9">
        <v>5.9649049870900271E-2</v>
      </c>
      <c r="L9">
        <v>0.12576238881694496</v>
      </c>
      <c r="M9">
        <v>0.70698078078124704</v>
      </c>
      <c r="N9">
        <v>0.17271100992386515</v>
      </c>
      <c r="O9">
        <v>8.3219762207695624E-3</v>
      </c>
      <c r="P9">
        <v>0</v>
      </c>
      <c r="Q9">
        <v>0</v>
      </c>
      <c r="R9">
        <v>0</v>
      </c>
      <c r="S9">
        <v>0</v>
      </c>
      <c r="T9">
        <v>1.4413331483057872</v>
      </c>
      <c r="U9" s="6">
        <v>0.19104562249946894</v>
      </c>
      <c r="V9">
        <f t="shared" si="0"/>
        <v>1.6323787708052562</v>
      </c>
      <c r="W9" t="s">
        <v>25</v>
      </c>
    </row>
    <row r="10" spans="1:23" x14ac:dyDescent="0.35">
      <c r="A10" t="s">
        <v>22</v>
      </c>
      <c r="B10">
        <v>4</v>
      </c>
      <c r="D10">
        <v>15.662283260473366</v>
      </c>
      <c r="H10" t="s">
        <v>25</v>
      </c>
      <c r="I10">
        <v>1.8125815567090461E-2</v>
      </c>
      <c r="J10">
        <v>0.44925207652117166</v>
      </c>
      <c r="K10">
        <v>9.3995260201053227E-2</v>
      </c>
      <c r="L10">
        <v>0.17784235471260079</v>
      </c>
      <c r="M10">
        <v>0.72085685758998008</v>
      </c>
      <c r="N10">
        <v>0.2224080404935608</v>
      </c>
      <c r="O10">
        <v>1.3017046864639979E-2</v>
      </c>
      <c r="P10">
        <v>0</v>
      </c>
      <c r="Q10">
        <v>0</v>
      </c>
      <c r="R10">
        <v>0</v>
      </c>
      <c r="S10">
        <v>0</v>
      </c>
      <c r="T10">
        <v>1.6954974519500972</v>
      </c>
      <c r="U10" s="6">
        <v>0.15247760804721142</v>
      </c>
      <c r="V10">
        <f t="shared" si="0"/>
        <v>1.8479750599973086</v>
      </c>
      <c r="W10" t="s">
        <v>25</v>
      </c>
    </row>
    <row r="11" spans="1:23" x14ac:dyDescent="0.35">
      <c r="A11" t="s">
        <v>37</v>
      </c>
      <c r="B11">
        <v>2</v>
      </c>
      <c r="D11">
        <v>7.2130997226575344</v>
      </c>
      <c r="H11" t="s">
        <v>22</v>
      </c>
      <c r="I11">
        <v>5.5955935637149123E-2</v>
      </c>
      <c r="J11">
        <v>2.1231177904580987</v>
      </c>
      <c r="K11">
        <v>4.7395140038810131E-2</v>
      </c>
      <c r="L11">
        <v>0.29178690936437673</v>
      </c>
      <c r="M11">
        <v>1.6781702133158647</v>
      </c>
      <c r="N11">
        <v>3.922717805077502</v>
      </c>
      <c r="O11">
        <v>0.90540247274954266</v>
      </c>
      <c r="P11">
        <v>0</v>
      </c>
      <c r="Q11">
        <v>0.11438192353244581</v>
      </c>
      <c r="R11">
        <v>0</v>
      </c>
      <c r="S11">
        <v>0</v>
      </c>
      <c r="T11">
        <v>9.1389281901737895</v>
      </c>
      <c r="U11" s="6">
        <v>2.1510521316283957</v>
      </c>
      <c r="V11">
        <f t="shared" si="0"/>
        <v>11.289980321802185</v>
      </c>
      <c r="W11" t="s">
        <v>22</v>
      </c>
    </row>
    <row r="12" spans="1:23" x14ac:dyDescent="0.35">
      <c r="A12" t="s">
        <v>37</v>
      </c>
      <c r="B12">
        <v>3</v>
      </c>
      <c r="D12">
        <v>5.8400488396442594</v>
      </c>
      <c r="H12" t="s">
        <v>22</v>
      </c>
      <c r="I12">
        <v>4.8313637254715658E-2</v>
      </c>
      <c r="J12">
        <v>1.918895471134124</v>
      </c>
      <c r="K12">
        <v>4.7593764021293519E-2</v>
      </c>
      <c r="L12">
        <v>0.3089011041375378</v>
      </c>
      <c r="M12">
        <v>1.5792804395801932</v>
      </c>
      <c r="N12">
        <v>3.4186282367931935</v>
      </c>
      <c r="O12">
        <v>0.87328585205691533</v>
      </c>
      <c r="P12">
        <v>0</v>
      </c>
      <c r="Q12">
        <v>0.12885135339839449</v>
      </c>
      <c r="R12">
        <v>0</v>
      </c>
      <c r="S12">
        <v>0</v>
      </c>
      <c r="T12">
        <v>8.3237498583763667</v>
      </c>
      <c r="U12" s="6">
        <v>2.3307927549781344</v>
      </c>
      <c r="V12">
        <f t="shared" si="0"/>
        <v>10.654542613354501</v>
      </c>
      <c r="W12" t="s">
        <v>22</v>
      </c>
    </row>
    <row r="13" spans="1:23" x14ac:dyDescent="0.35">
      <c r="A13" t="s">
        <v>37</v>
      </c>
      <c r="B13">
        <v>4</v>
      </c>
      <c r="D13">
        <v>13.115303050223986</v>
      </c>
      <c r="H13" t="s">
        <v>22</v>
      </c>
      <c r="I13">
        <v>9.7974716394779962E-2</v>
      </c>
      <c r="J13">
        <v>3.2635744602541643</v>
      </c>
      <c r="K13">
        <v>9.5631761134293947E-2</v>
      </c>
      <c r="L13">
        <v>0.42513823638109299</v>
      </c>
      <c r="M13">
        <v>2.2653259012009626</v>
      </c>
      <c r="N13">
        <v>5.0726795557683539</v>
      </c>
      <c r="O13">
        <v>1.5541967041212572</v>
      </c>
      <c r="P13">
        <v>0</v>
      </c>
      <c r="Q13">
        <v>0.23050001869297004</v>
      </c>
      <c r="R13">
        <v>0</v>
      </c>
      <c r="S13">
        <v>0</v>
      </c>
      <c r="T13">
        <v>13.005021353947873</v>
      </c>
      <c r="U13" s="6">
        <v>2.6572619065254939</v>
      </c>
      <c r="V13">
        <f t="shared" si="0"/>
        <v>15.662283260473366</v>
      </c>
      <c r="W13" t="s">
        <v>22</v>
      </c>
    </row>
    <row r="14" spans="1:23" x14ac:dyDescent="0.35">
      <c r="A14" t="s">
        <v>38</v>
      </c>
      <c r="B14">
        <v>2</v>
      </c>
      <c r="D14">
        <v>30.225034004540383</v>
      </c>
      <c r="H14" t="s">
        <v>38</v>
      </c>
      <c r="I14">
        <v>5.389408814059532E-2</v>
      </c>
      <c r="J14">
        <v>0.84133756733017906</v>
      </c>
      <c r="K14">
        <v>4.0196508469995881E-2</v>
      </c>
      <c r="L14">
        <v>0.1561617240078666</v>
      </c>
      <c r="M14">
        <v>2.0684807774045271</v>
      </c>
      <c r="N14">
        <v>1.7323980616441736</v>
      </c>
      <c r="O14">
        <v>4.7518472136180323E-2</v>
      </c>
      <c r="P14">
        <v>0</v>
      </c>
      <c r="Q14">
        <v>6.0801566820908509E-2</v>
      </c>
      <c r="R14">
        <v>0</v>
      </c>
      <c r="S14">
        <v>0</v>
      </c>
      <c r="T14">
        <v>5.0007887659544261</v>
      </c>
      <c r="U14" s="6">
        <v>2.2123109567031083</v>
      </c>
      <c r="V14">
        <f t="shared" si="0"/>
        <v>7.2130997226575344</v>
      </c>
      <c r="W14" t="s">
        <v>38</v>
      </c>
    </row>
    <row r="15" spans="1:23" x14ac:dyDescent="0.35">
      <c r="A15" t="s">
        <v>38</v>
      </c>
      <c r="B15">
        <v>3</v>
      </c>
      <c r="D15">
        <v>22.670527105782224</v>
      </c>
      <c r="H15" t="s">
        <v>38</v>
      </c>
      <c r="I15">
        <v>2.4997471012744674E-2</v>
      </c>
      <c r="J15">
        <v>0.71771268302634617</v>
      </c>
      <c r="K15">
        <v>1.9493693154680729E-2</v>
      </c>
      <c r="L15">
        <v>0.11985222945280133</v>
      </c>
      <c r="M15">
        <v>1.7271207556950554</v>
      </c>
      <c r="N15">
        <v>1.4886318378804375</v>
      </c>
      <c r="O15">
        <v>4.7282876955676643E-2</v>
      </c>
      <c r="P15">
        <v>0</v>
      </c>
      <c r="Q15">
        <v>3.8021483389420518E-2</v>
      </c>
      <c r="R15">
        <v>0</v>
      </c>
      <c r="S15">
        <v>0</v>
      </c>
      <c r="T15">
        <v>4.1831130305671635</v>
      </c>
      <c r="U15" s="6">
        <v>1.6569358090770958</v>
      </c>
      <c r="V15">
        <f t="shared" si="0"/>
        <v>5.8400488396442594</v>
      </c>
      <c r="W15" t="s">
        <v>38</v>
      </c>
    </row>
    <row r="16" spans="1:23" x14ac:dyDescent="0.35">
      <c r="A16" t="s">
        <v>38</v>
      </c>
      <c r="B16">
        <v>4</v>
      </c>
      <c r="D16">
        <v>28.826849429482127</v>
      </c>
      <c r="H16" t="s">
        <v>38</v>
      </c>
      <c r="I16">
        <v>0.27647051136912637</v>
      </c>
      <c r="J16">
        <v>2.3035135789760166</v>
      </c>
      <c r="K16">
        <v>0.19036362687296254</v>
      </c>
      <c r="L16">
        <v>0.646335001047322</v>
      </c>
      <c r="M16">
        <v>3.4013523955743663</v>
      </c>
      <c r="N16">
        <v>2.6246533928889089</v>
      </c>
      <c r="O16">
        <v>0.10982054002769553</v>
      </c>
      <c r="P16">
        <v>0</v>
      </c>
      <c r="Q16">
        <v>0.2023089457450018</v>
      </c>
      <c r="R16">
        <v>0</v>
      </c>
      <c r="S16">
        <v>0</v>
      </c>
      <c r="T16">
        <v>9.7548179925014011</v>
      </c>
      <c r="U16" s="6">
        <v>3.3604850577225842</v>
      </c>
      <c r="V16">
        <f t="shared" si="0"/>
        <v>13.115303050223986</v>
      </c>
      <c r="W16" t="s">
        <v>38</v>
      </c>
    </row>
    <row r="17" spans="1:23" x14ac:dyDescent="0.35">
      <c r="A17" t="s">
        <v>39</v>
      </c>
      <c r="B17">
        <v>2</v>
      </c>
      <c r="D17">
        <v>10.802988596298482</v>
      </c>
      <c r="H17" t="s">
        <v>54</v>
      </c>
      <c r="I17">
        <v>0.12901707130820034</v>
      </c>
      <c r="J17">
        <v>4.9216621148122774</v>
      </c>
      <c r="K17">
        <v>0.13861264914066207</v>
      </c>
      <c r="L17">
        <v>0.84475111437699923</v>
      </c>
      <c r="M17">
        <v>9.9850163964075165</v>
      </c>
      <c r="N17">
        <v>9.0752315406975068</v>
      </c>
      <c r="O17">
        <v>0.6672932229208669</v>
      </c>
      <c r="P17">
        <v>0</v>
      </c>
      <c r="Q17">
        <v>0.45921841371748978</v>
      </c>
      <c r="R17">
        <v>0</v>
      </c>
      <c r="S17">
        <v>0</v>
      </c>
      <c r="T17">
        <v>26.220802523381519</v>
      </c>
      <c r="U17" s="6">
        <v>4.0042314811588646</v>
      </c>
      <c r="V17">
        <f t="shared" si="0"/>
        <v>30.225034004540383</v>
      </c>
      <c r="W17" t="s">
        <v>54</v>
      </c>
    </row>
    <row r="18" spans="1:23" x14ac:dyDescent="0.35">
      <c r="A18" t="s">
        <v>23</v>
      </c>
      <c r="B18">
        <v>3</v>
      </c>
      <c r="D18">
        <v>12.185325180565947</v>
      </c>
      <c r="H18" t="s">
        <v>54</v>
      </c>
      <c r="I18">
        <v>0.11323572366262645</v>
      </c>
      <c r="J18">
        <v>3.6155980093162592</v>
      </c>
      <c r="K18">
        <v>0.12596318579738805</v>
      </c>
      <c r="L18">
        <v>0.70259809356501979</v>
      </c>
      <c r="M18">
        <v>7.2546675073797333</v>
      </c>
      <c r="N18">
        <v>6.378680496129105</v>
      </c>
      <c r="O18">
        <v>0.55002198751906195</v>
      </c>
      <c r="P18">
        <v>0</v>
      </c>
      <c r="Q18">
        <v>0.37914039312666048</v>
      </c>
      <c r="R18">
        <v>0</v>
      </c>
      <c r="S18">
        <v>0</v>
      </c>
      <c r="T18">
        <v>19.119905396495856</v>
      </c>
      <c r="U18" s="6">
        <v>3.550621709286367</v>
      </c>
      <c r="V18">
        <f t="shared" si="0"/>
        <v>22.670527105782224</v>
      </c>
      <c r="W18" t="s">
        <v>54</v>
      </c>
    </row>
    <row r="19" spans="1:23" x14ac:dyDescent="0.35">
      <c r="A19" t="s">
        <v>23</v>
      </c>
      <c r="B19">
        <v>4</v>
      </c>
      <c r="D19">
        <v>14.455409024676211</v>
      </c>
      <c r="H19" t="s">
        <v>54</v>
      </c>
      <c r="I19">
        <v>0.15503653137585494</v>
      </c>
      <c r="J19">
        <v>5.2756368610031119</v>
      </c>
      <c r="K19">
        <v>0.13656971865921505</v>
      </c>
      <c r="L19">
        <v>0.90641433913448854</v>
      </c>
      <c r="M19">
        <v>9.0572835987668459</v>
      </c>
      <c r="N19">
        <v>8.0831365140125264</v>
      </c>
      <c r="O19">
        <v>0.77511516839413619</v>
      </c>
      <c r="P19">
        <v>0</v>
      </c>
      <c r="Q19">
        <v>0.59488261807065257</v>
      </c>
      <c r="R19">
        <v>0</v>
      </c>
      <c r="S19">
        <v>0</v>
      </c>
      <c r="T19">
        <v>24.984075349416834</v>
      </c>
      <c r="U19" s="6">
        <v>3.842774080065293</v>
      </c>
      <c r="V19">
        <f t="shared" si="0"/>
        <v>28.826849429482127</v>
      </c>
      <c r="W19" t="s">
        <v>54</v>
      </c>
    </row>
    <row r="20" spans="1:23" x14ac:dyDescent="0.35">
      <c r="A20" t="s">
        <v>26</v>
      </c>
      <c r="B20">
        <v>2</v>
      </c>
      <c r="D20">
        <v>8.0925826800821241</v>
      </c>
      <c r="H20" t="s">
        <v>23</v>
      </c>
      <c r="I20">
        <v>7.9402828584440324E-2</v>
      </c>
      <c r="J20">
        <v>1.6973415433298829</v>
      </c>
      <c r="K20">
        <v>0.29065184224141366</v>
      </c>
      <c r="L20">
        <v>0.37564128171628203</v>
      </c>
      <c r="M20">
        <v>1.7095471530886286</v>
      </c>
      <c r="N20">
        <v>3.3935311808637216</v>
      </c>
      <c r="O20">
        <v>0.57224378573319212</v>
      </c>
      <c r="P20">
        <v>0</v>
      </c>
      <c r="Q20">
        <v>7.7089554924321971E-2</v>
      </c>
      <c r="R20">
        <v>0</v>
      </c>
      <c r="S20">
        <v>0</v>
      </c>
      <c r="T20">
        <v>8.1954491704818846</v>
      </c>
      <c r="U20" s="6">
        <v>2.6075394258165971</v>
      </c>
      <c r="V20">
        <f t="shared" si="0"/>
        <v>10.802988596298482</v>
      </c>
      <c r="W20" t="s">
        <v>23</v>
      </c>
    </row>
    <row r="21" spans="1:23" x14ac:dyDescent="0.35">
      <c r="A21" t="s">
        <v>26</v>
      </c>
      <c r="B21">
        <v>3</v>
      </c>
      <c r="D21">
        <v>9.1882545705345642</v>
      </c>
      <c r="H21" t="s">
        <v>23</v>
      </c>
      <c r="I21">
        <v>4.6363356090999737E-2</v>
      </c>
      <c r="J21">
        <v>1.9514563264804756</v>
      </c>
      <c r="K21">
        <v>0.31087396783778332</v>
      </c>
      <c r="L21">
        <v>0.49567313199576679</v>
      </c>
      <c r="M21">
        <v>1.9578454341304838</v>
      </c>
      <c r="N21">
        <v>3.8237487787390791</v>
      </c>
      <c r="O21">
        <v>0.6311449718566251</v>
      </c>
      <c r="P21">
        <v>0</v>
      </c>
      <c r="Q21">
        <v>7.5974915885824057E-2</v>
      </c>
      <c r="R21">
        <v>0</v>
      </c>
      <c r="S21">
        <v>0</v>
      </c>
      <c r="T21">
        <v>9.2930808830170371</v>
      </c>
      <c r="U21" s="6">
        <v>2.8922442975489102</v>
      </c>
      <c r="V21">
        <f t="shared" si="0"/>
        <v>12.185325180565947</v>
      </c>
      <c r="W21" t="s">
        <v>23</v>
      </c>
    </row>
    <row r="22" spans="1:23" x14ac:dyDescent="0.35">
      <c r="A22" t="s">
        <v>26</v>
      </c>
      <c r="B22">
        <v>4</v>
      </c>
      <c r="D22">
        <v>9.2958549016227412</v>
      </c>
      <c r="H22" t="s">
        <v>23</v>
      </c>
      <c r="I22">
        <v>0.10436901054687664</v>
      </c>
      <c r="J22">
        <v>2.7211310330133487</v>
      </c>
      <c r="K22">
        <v>0.55729361624524487</v>
      </c>
      <c r="L22">
        <v>0.51765026475394049</v>
      </c>
      <c r="M22">
        <v>2.3451641735778708</v>
      </c>
      <c r="N22">
        <v>4.6036862623421326</v>
      </c>
      <c r="O22">
        <v>0.90074063564308071</v>
      </c>
      <c r="P22">
        <v>0</v>
      </c>
      <c r="Q22">
        <v>0.12710624220571856</v>
      </c>
      <c r="R22">
        <v>0</v>
      </c>
      <c r="S22">
        <v>0</v>
      </c>
      <c r="T22">
        <v>11.877141238328212</v>
      </c>
      <c r="U22" s="6">
        <v>2.5782677863479995</v>
      </c>
      <c r="V22">
        <f t="shared" si="0"/>
        <v>14.455409024676211</v>
      </c>
      <c r="W22" t="s">
        <v>23</v>
      </c>
    </row>
    <row r="23" spans="1:23" x14ac:dyDescent="0.35">
      <c r="A23" t="s">
        <v>24</v>
      </c>
      <c r="B23">
        <v>2</v>
      </c>
      <c r="D23">
        <v>0.14015769323832503</v>
      </c>
      <c r="H23" t="s">
        <v>55</v>
      </c>
      <c r="I23">
        <v>0</v>
      </c>
      <c r="J23">
        <v>0</v>
      </c>
      <c r="K23">
        <v>0.74227352516507894</v>
      </c>
      <c r="L23">
        <v>3.9989891642177575</v>
      </c>
      <c r="M23">
        <v>0.75141255590539668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5.4926752452882326</v>
      </c>
      <c r="U23" s="6">
        <v>2.5999074347938915</v>
      </c>
      <c r="V23">
        <f t="shared" si="0"/>
        <v>8.0925826800821241</v>
      </c>
      <c r="W23" t="s">
        <v>55</v>
      </c>
    </row>
    <row r="24" spans="1:23" x14ac:dyDescent="0.35">
      <c r="A24" t="s">
        <v>24</v>
      </c>
      <c r="B24">
        <v>3</v>
      </c>
      <c r="D24">
        <v>0.28074227223225978</v>
      </c>
      <c r="H24" t="s">
        <v>55</v>
      </c>
      <c r="I24">
        <v>0</v>
      </c>
      <c r="J24">
        <v>0</v>
      </c>
      <c r="K24">
        <v>0.87693760735802473</v>
      </c>
      <c r="L24">
        <v>4.4468528306440707</v>
      </c>
      <c r="M24">
        <v>1.0290804762060435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6.3528709142081397</v>
      </c>
      <c r="U24" s="6">
        <v>2.8353836563264254</v>
      </c>
      <c r="V24">
        <f t="shared" si="0"/>
        <v>9.1882545705345642</v>
      </c>
      <c r="W24" t="s">
        <v>55</v>
      </c>
    </row>
    <row r="25" spans="1:23" x14ac:dyDescent="0.35">
      <c r="A25" t="s">
        <v>24</v>
      </c>
      <c r="B25">
        <v>4</v>
      </c>
      <c r="D25">
        <v>0.35648371467683782</v>
      </c>
      <c r="H25" t="s">
        <v>55</v>
      </c>
      <c r="I25">
        <v>0</v>
      </c>
      <c r="J25">
        <v>0</v>
      </c>
      <c r="K25">
        <v>0.74157310264779586</v>
      </c>
      <c r="L25">
        <v>4.4838658117399559</v>
      </c>
      <c r="M25">
        <v>0.70561215835022895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5.931051072737981</v>
      </c>
      <c r="U25" s="6">
        <v>3.3648038288847602</v>
      </c>
      <c r="V25">
        <f t="shared" si="0"/>
        <v>9.2958549016227412</v>
      </c>
      <c r="W25" t="s">
        <v>55</v>
      </c>
    </row>
    <row r="26" spans="1:23" x14ac:dyDescent="0.35">
      <c r="H26" t="s">
        <v>24</v>
      </c>
      <c r="I26">
        <v>8.4832204609285519E-3</v>
      </c>
      <c r="J26">
        <v>3.3828687008653761E-2</v>
      </c>
      <c r="K26">
        <v>0</v>
      </c>
      <c r="L26">
        <v>2.5581966128610169E-2</v>
      </c>
      <c r="M26">
        <v>1.4911841477861726E-2</v>
      </c>
      <c r="N26">
        <v>1.1415568049648996E-2</v>
      </c>
      <c r="O26">
        <v>1.2742093011594636E-2</v>
      </c>
      <c r="P26">
        <v>0</v>
      </c>
      <c r="Q26">
        <v>0</v>
      </c>
      <c r="R26">
        <v>0</v>
      </c>
      <c r="S26">
        <v>0</v>
      </c>
      <c r="T26">
        <v>0.10696337613729785</v>
      </c>
      <c r="U26" s="6">
        <v>3.3194317101027181E-2</v>
      </c>
      <c r="V26">
        <f t="shared" si="0"/>
        <v>0.14015769323832503</v>
      </c>
      <c r="W26" t="s">
        <v>24</v>
      </c>
    </row>
    <row r="27" spans="1:23" x14ac:dyDescent="0.35">
      <c r="H27" t="s">
        <v>24</v>
      </c>
      <c r="I27">
        <v>2.0116255325946193E-2</v>
      </c>
      <c r="J27">
        <v>8.7474885703850716E-2</v>
      </c>
      <c r="K27">
        <v>0</v>
      </c>
      <c r="L27">
        <v>7.2486886625145366E-2</v>
      </c>
      <c r="M27">
        <v>3.120519839713496E-2</v>
      </c>
      <c r="N27">
        <v>3.3053588099080503E-2</v>
      </c>
      <c r="O27">
        <v>1.4680711242814755E-2</v>
      </c>
      <c r="P27">
        <v>0</v>
      </c>
      <c r="Q27">
        <v>0</v>
      </c>
      <c r="R27">
        <v>0</v>
      </c>
      <c r="S27">
        <v>0</v>
      </c>
      <c r="T27">
        <v>0.25901752539397255</v>
      </c>
      <c r="U27" s="6">
        <v>2.1724746838287262E-2</v>
      </c>
      <c r="V27">
        <f t="shared" si="0"/>
        <v>0.28074227223225978</v>
      </c>
      <c r="W27" t="s">
        <v>24</v>
      </c>
    </row>
    <row r="28" spans="1:23" x14ac:dyDescent="0.35">
      <c r="H28" t="s">
        <v>24</v>
      </c>
      <c r="I28">
        <v>1.5161219379425611E-2</v>
      </c>
      <c r="J28">
        <v>0.10534042762951147</v>
      </c>
      <c r="K28">
        <v>0</v>
      </c>
      <c r="L28">
        <v>7.6211791034932586E-2</v>
      </c>
      <c r="M28">
        <v>2.6636417341683552E-2</v>
      </c>
      <c r="N28">
        <v>6.8356828878976164E-2</v>
      </c>
      <c r="O28">
        <v>2.3897106519167731E-2</v>
      </c>
      <c r="P28">
        <v>0</v>
      </c>
      <c r="Q28">
        <v>0</v>
      </c>
      <c r="R28">
        <v>0</v>
      </c>
      <c r="S28">
        <v>0</v>
      </c>
      <c r="T28">
        <v>0.31560379078369705</v>
      </c>
      <c r="U28" s="6">
        <v>4.0879923893140754E-2</v>
      </c>
      <c r="V28">
        <f t="shared" si="0"/>
        <v>0.35648371467683782</v>
      </c>
      <c r="W28" t="s">
        <v>24</v>
      </c>
    </row>
    <row r="30" spans="1:23" ht="18.5" x14ac:dyDescent="0.45">
      <c r="H30" s="12" t="s">
        <v>56</v>
      </c>
    </row>
    <row r="31" spans="1:23" x14ac:dyDescent="0.35">
      <c r="I31" s="11" t="s">
        <v>41</v>
      </c>
      <c r="J31" s="11" t="s">
        <v>57</v>
      </c>
      <c r="K31" s="11" t="s">
        <v>42</v>
      </c>
      <c r="L31" s="11" t="s">
        <v>43</v>
      </c>
      <c r="M31" s="11" t="s">
        <v>44</v>
      </c>
      <c r="N31" s="11" t="s">
        <v>45</v>
      </c>
      <c r="O31" s="11" t="s">
        <v>46</v>
      </c>
      <c r="P31" s="11" t="s">
        <v>47</v>
      </c>
      <c r="Q31" s="11" t="s">
        <v>49</v>
      </c>
      <c r="R31" s="11" t="s">
        <v>58</v>
      </c>
      <c r="S31" s="11" t="s">
        <v>59</v>
      </c>
      <c r="T31" s="11" t="s">
        <v>50</v>
      </c>
      <c r="U31" s="11" t="s">
        <v>60</v>
      </c>
      <c r="V31" s="11" t="s">
        <v>52</v>
      </c>
    </row>
    <row r="32" spans="1:23" x14ac:dyDescent="0.35">
      <c r="H32" s="11" t="s">
        <v>21</v>
      </c>
      <c r="I32">
        <v>0</v>
      </c>
      <c r="J32">
        <v>0</v>
      </c>
      <c r="K32" s="5">
        <v>0.28155829524732878</v>
      </c>
      <c r="L32">
        <v>0</v>
      </c>
      <c r="M32" s="5">
        <v>8.3598459663775423E-2</v>
      </c>
      <c r="N32" s="5">
        <v>0.14248397644742122</v>
      </c>
      <c r="O32" s="5">
        <v>0.46586896729211613</v>
      </c>
      <c r="P32" s="13">
        <v>1.0772105832970127E-2</v>
      </c>
      <c r="Q32">
        <v>0</v>
      </c>
      <c r="R32">
        <v>0</v>
      </c>
      <c r="S32">
        <v>0</v>
      </c>
      <c r="T32">
        <v>0</v>
      </c>
      <c r="U32">
        <v>0</v>
      </c>
      <c r="V32" s="6">
        <v>0.98428180448361169</v>
      </c>
    </row>
    <row r="33" spans="8:22" x14ac:dyDescent="0.35">
      <c r="H33" s="11" t="s">
        <v>21</v>
      </c>
      <c r="I33">
        <v>0</v>
      </c>
      <c r="J33">
        <v>0</v>
      </c>
      <c r="K33" s="5">
        <v>0.46941181333612936</v>
      </c>
      <c r="L33">
        <v>0</v>
      </c>
      <c r="M33" s="5">
        <v>9.7000961741080763E-2</v>
      </c>
      <c r="N33" s="5">
        <v>0.18725878599179607</v>
      </c>
      <c r="O33" s="5">
        <v>0.61079060228298365</v>
      </c>
      <c r="P33" s="13">
        <v>1.2960426551469355E-2</v>
      </c>
      <c r="Q33">
        <v>0</v>
      </c>
      <c r="R33">
        <v>0</v>
      </c>
      <c r="S33">
        <v>0</v>
      </c>
      <c r="T33">
        <v>0</v>
      </c>
      <c r="U33">
        <v>0</v>
      </c>
      <c r="V33" s="6">
        <v>1.3774225899034591</v>
      </c>
    </row>
    <row r="34" spans="8:22" x14ac:dyDescent="0.35">
      <c r="H34" s="11" t="s">
        <v>21</v>
      </c>
      <c r="I34">
        <v>0</v>
      </c>
      <c r="J34">
        <v>0</v>
      </c>
      <c r="K34" s="5">
        <v>0.35078479794198325</v>
      </c>
      <c r="L34">
        <v>0</v>
      </c>
      <c r="M34" s="5">
        <v>7.6138222950448267E-2</v>
      </c>
      <c r="N34" s="5">
        <v>0.13631322390968151</v>
      </c>
      <c r="O34" s="5">
        <v>0.44676030947200879</v>
      </c>
      <c r="P34" s="13">
        <v>1.1097463489436089E-2</v>
      </c>
      <c r="Q34">
        <v>0</v>
      </c>
      <c r="R34">
        <v>0</v>
      </c>
      <c r="S34">
        <v>0</v>
      </c>
      <c r="T34">
        <v>0</v>
      </c>
      <c r="U34">
        <v>0</v>
      </c>
      <c r="V34" s="6">
        <v>1.0210940177635579</v>
      </c>
    </row>
    <row r="35" spans="8:22" x14ac:dyDescent="0.35">
      <c r="H35" s="11" t="s">
        <v>25</v>
      </c>
      <c r="I35">
        <v>0</v>
      </c>
      <c r="J35">
        <v>0</v>
      </c>
      <c r="K35" s="5">
        <v>5.3767790561334683E-2</v>
      </c>
      <c r="L35">
        <v>0</v>
      </c>
      <c r="M35" s="5">
        <v>3.0647147817000238E-2</v>
      </c>
      <c r="N35" s="5">
        <v>5.9329074034974422E-2</v>
      </c>
      <c r="O35" s="5">
        <v>2.6670679392922576E-2</v>
      </c>
      <c r="P35">
        <v>0</v>
      </c>
      <c r="Q35">
        <v>0</v>
      </c>
      <c r="R35">
        <v>0</v>
      </c>
      <c r="S35">
        <v>1.8331412136295976E-2</v>
      </c>
      <c r="T35">
        <v>0</v>
      </c>
      <c r="U35">
        <v>1.0342765299028204E-2</v>
      </c>
      <c r="V35" s="6">
        <v>0.19908886924155608</v>
      </c>
    </row>
    <row r="36" spans="8:22" x14ac:dyDescent="0.35">
      <c r="H36" s="11" t="s">
        <v>25</v>
      </c>
      <c r="I36">
        <v>0</v>
      </c>
      <c r="J36">
        <v>0</v>
      </c>
      <c r="K36" s="5">
        <v>4.6621203315693936E-2</v>
      </c>
      <c r="L36">
        <v>0</v>
      </c>
      <c r="M36" s="5">
        <v>3.3884809812911462E-2</v>
      </c>
      <c r="N36" s="5">
        <v>5.8932059328508646E-2</v>
      </c>
      <c r="O36" s="5">
        <v>2.4974571607150612E-2</v>
      </c>
      <c r="P36">
        <v>0</v>
      </c>
      <c r="Q36">
        <v>0</v>
      </c>
      <c r="R36">
        <v>0</v>
      </c>
      <c r="S36">
        <v>1.8158289075681608E-2</v>
      </c>
      <c r="T36">
        <v>0</v>
      </c>
      <c r="U36">
        <v>8.4746893595226795E-3</v>
      </c>
      <c r="V36" s="6">
        <v>0.19104562249946894</v>
      </c>
    </row>
    <row r="37" spans="8:22" x14ac:dyDescent="0.35">
      <c r="H37" s="11" t="s">
        <v>25</v>
      </c>
      <c r="I37">
        <v>0</v>
      </c>
      <c r="J37">
        <v>0</v>
      </c>
      <c r="K37" s="5">
        <v>3.7709904034829905E-2</v>
      </c>
      <c r="L37">
        <v>0</v>
      </c>
      <c r="M37" s="5">
        <v>2.901533141072386E-2</v>
      </c>
      <c r="N37" s="5">
        <v>4.4173674370577613E-2</v>
      </c>
      <c r="O37" s="5">
        <v>1.8898194085708277E-2</v>
      </c>
      <c r="P37">
        <v>0</v>
      </c>
      <c r="Q37">
        <v>0</v>
      </c>
      <c r="R37">
        <v>0</v>
      </c>
      <c r="S37">
        <v>1.5429562898563334E-2</v>
      </c>
      <c r="T37">
        <v>0</v>
      </c>
      <c r="U37">
        <v>7.2509412468084265E-3</v>
      </c>
      <c r="V37" s="6">
        <v>0.15247760804721142</v>
      </c>
    </row>
    <row r="38" spans="8:22" x14ac:dyDescent="0.35">
      <c r="H38" s="11" t="s">
        <v>22</v>
      </c>
      <c r="I38" s="5">
        <v>1.1504335553449914E-2</v>
      </c>
      <c r="J38">
        <v>0</v>
      </c>
      <c r="K38" s="5">
        <v>0.6746266833440735</v>
      </c>
      <c r="L38" s="5">
        <v>1.5410661477148008E-2</v>
      </c>
      <c r="M38" s="5">
        <v>3.9038940420010548E-2</v>
      </c>
      <c r="N38" s="5">
        <v>0.1938078624533538</v>
      </c>
      <c r="O38" s="5">
        <v>1.0332077119832297</v>
      </c>
      <c r="P38" s="13">
        <v>0.15633380517953305</v>
      </c>
      <c r="Q38">
        <v>1.0324774232805908E-2</v>
      </c>
      <c r="R38">
        <v>4.3439557440224374E-3</v>
      </c>
      <c r="S38">
        <v>0</v>
      </c>
      <c r="T38">
        <v>1.24534012407691E-2</v>
      </c>
      <c r="U38">
        <v>0</v>
      </c>
      <c r="V38" s="6">
        <v>2.1510521316283957</v>
      </c>
    </row>
    <row r="39" spans="8:22" x14ac:dyDescent="0.35">
      <c r="H39" s="11" t="s">
        <v>22</v>
      </c>
      <c r="I39" s="5">
        <v>7.6711843720982777E-3</v>
      </c>
      <c r="J39">
        <v>0</v>
      </c>
      <c r="K39" s="5">
        <v>0.76933381284264624</v>
      </c>
      <c r="L39" s="5">
        <v>1.4603882300645613E-2</v>
      </c>
      <c r="M39" s="5">
        <v>5.1184259604584524E-2</v>
      </c>
      <c r="N39" s="5">
        <v>0.23753797827640996</v>
      </c>
      <c r="O39" s="5">
        <v>1.0662195635979974</v>
      </c>
      <c r="P39" s="13">
        <v>0.1496590584648568</v>
      </c>
      <c r="Q39">
        <v>1.1987130385444737E-2</v>
      </c>
      <c r="R39">
        <v>4.5226581213697039E-3</v>
      </c>
      <c r="S39">
        <v>0</v>
      </c>
      <c r="T39">
        <v>1.8073227012081371E-2</v>
      </c>
      <c r="U39">
        <v>0</v>
      </c>
      <c r="V39" s="6">
        <v>2.3307927549781344</v>
      </c>
    </row>
    <row r="40" spans="8:22" x14ac:dyDescent="0.35">
      <c r="H40" s="11" t="s">
        <v>22</v>
      </c>
      <c r="I40" s="5">
        <v>2.0505929117859284E-2</v>
      </c>
      <c r="J40">
        <v>0</v>
      </c>
      <c r="K40" s="5">
        <v>0.82824808544085726</v>
      </c>
      <c r="L40" s="5">
        <v>2.8554365669691818E-2</v>
      </c>
      <c r="M40" s="5">
        <v>7.5745704563403959E-2</v>
      </c>
      <c r="N40" s="5">
        <v>0.32710574701562956</v>
      </c>
      <c r="O40" s="5">
        <v>1.0924522540770045</v>
      </c>
      <c r="P40" s="13">
        <v>0.24095428704342148</v>
      </c>
      <c r="Q40">
        <v>1.9152906300135112E-2</v>
      </c>
      <c r="R40">
        <v>8.0027106148054424E-3</v>
      </c>
      <c r="S40">
        <v>0</v>
      </c>
      <c r="T40">
        <v>1.6539916682685746E-2</v>
      </c>
      <c r="U40">
        <v>0</v>
      </c>
      <c r="V40" s="6">
        <v>2.6572619065254939</v>
      </c>
    </row>
    <row r="41" spans="8:22" x14ac:dyDescent="0.35">
      <c r="H41" s="11" t="s">
        <v>38</v>
      </c>
      <c r="I41" s="5">
        <v>1.3148243268667412E-2</v>
      </c>
      <c r="J41">
        <v>0</v>
      </c>
      <c r="K41" s="5">
        <v>0.67190277246513697</v>
      </c>
      <c r="L41">
        <v>0</v>
      </c>
      <c r="M41" s="5">
        <v>3.0486589748293564E-2</v>
      </c>
      <c r="N41" s="5">
        <v>0.44640701488898632</v>
      </c>
      <c r="O41" s="5">
        <v>0.99787429566754482</v>
      </c>
      <c r="P41" s="13">
        <v>4.3021387019431354E-2</v>
      </c>
      <c r="Q41">
        <v>9.4706536450482656E-3</v>
      </c>
      <c r="R41">
        <v>0</v>
      </c>
      <c r="S41">
        <v>0</v>
      </c>
      <c r="T41">
        <v>0</v>
      </c>
      <c r="U41">
        <v>0</v>
      </c>
      <c r="V41" s="6">
        <v>2.2123109567031083</v>
      </c>
    </row>
    <row r="42" spans="8:22" x14ac:dyDescent="0.35">
      <c r="H42" s="11" t="s">
        <v>38</v>
      </c>
      <c r="I42" s="5">
        <v>9.2258535319830158E-3</v>
      </c>
      <c r="J42">
        <v>0</v>
      </c>
      <c r="K42" s="5">
        <v>0.50606218376719936</v>
      </c>
      <c r="L42">
        <v>0</v>
      </c>
      <c r="M42" s="5">
        <v>1.9658980562848309E-2</v>
      </c>
      <c r="N42" s="5">
        <v>0.33397409879975365</v>
      </c>
      <c r="O42" s="5">
        <v>0.75045909396035926</v>
      </c>
      <c r="P42" s="13">
        <v>3.1076686617730706E-2</v>
      </c>
      <c r="Q42">
        <v>6.4789118372214098E-3</v>
      </c>
      <c r="R42">
        <v>0</v>
      </c>
      <c r="S42">
        <v>0</v>
      </c>
      <c r="T42">
        <v>0</v>
      </c>
      <c r="U42">
        <v>0</v>
      </c>
      <c r="V42" s="6">
        <v>1.6569358090770958</v>
      </c>
    </row>
    <row r="43" spans="8:22" x14ac:dyDescent="0.35">
      <c r="H43" s="11" t="s">
        <v>38</v>
      </c>
      <c r="I43" s="5">
        <v>3.003350277942602E-2</v>
      </c>
      <c r="J43">
        <v>0</v>
      </c>
      <c r="K43" s="5">
        <v>1.1414182755442124</v>
      </c>
      <c r="L43">
        <v>0</v>
      </c>
      <c r="M43" s="5">
        <v>0.11627176638578318</v>
      </c>
      <c r="N43" s="5">
        <v>0.66174597347519615</v>
      </c>
      <c r="O43" s="5">
        <v>1.3208160505877593</v>
      </c>
      <c r="P43" s="13">
        <v>7.3711612333037163E-2</v>
      </c>
      <c r="Q43">
        <v>1.6487876617169939E-2</v>
      </c>
      <c r="R43">
        <v>0</v>
      </c>
      <c r="S43">
        <v>0</v>
      </c>
      <c r="T43">
        <v>0</v>
      </c>
      <c r="U43">
        <v>0</v>
      </c>
      <c r="V43" s="6">
        <v>3.3604850577225842</v>
      </c>
    </row>
    <row r="44" spans="8:22" x14ac:dyDescent="0.35">
      <c r="H44" s="11" t="s">
        <v>54</v>
      </c>
      <c r="I44" s="5">
        <v>3.4109439144720442E-2</v>
      </c>
      <c r="J44">
        <v>0</v>
      </c>
      <c r="K44" s="5">
        <v>1.1484654736279845</v>
      </c>
      <c r="L44">
        <v>0</v>
      </c>
      <c r="M44" s="5">
        <v>5.7265400879972707E-2</v>
      </c>
      <c r="N44" s="5">
        <v>0.93495541025860907</v>
      </c>
      <c r="O44" s="5">
        <v>1.7334069756052874</v>
      </c>
      <c r="P44" s="13">
        <v>7.8236620572068968E-2</v>
      </c>
      <c r="Q44">
        <v>1.7792161070221277E-2</v>
      </c>
      <c r="R44">
        <v>0</v>
      </c>
      <c r="S44">
        <v>0</v>
      </c>
      <c r="T44">
        <v>0</v>
      </c>
      <c r="U44">
        <v>0</v>
      </c>
      <c r="V44" s="6">
        <v>4.0042314811588646</v>
      </c>
    </row>
    <row r="45" spans="8:22" x14ac:dyDescent="0.35">
      <c r="H45" s="11" t="s">
        <v>54</v>
      </c>
      <c r="I45" s="5">
        <v>1.928427910652146E-2</v>
      </c>
      <c r="J45">
        <v>0</v>
      </c>
      <c r="K45" s="5">
        <v>1.0508421802667953</v>
      </c>
      <c r="L45">
        <v>0</v>
      </c>
      <c r="M45" s="5">
        <v>4.598863608708359E-2</v>
      </c>
      <c r="N45" s="5">
        <v>0.82460226090690003</v>
      </c>
      <c r="O45" s="5">
        <v>1.5204869682510724</v>
      </c>
      <c r="P45" s="13">
        <v>7.3923286331125382E-2</v>
      </c>
      <c r="Q45">
        <v>1.5494098336869358E-2</v>
      </c>
      <c r="R45">
        <v>0</v>
      </c>
      <c r="S45">
        <v>0</v>
      </c>
      <c r="T45">
        <v>0</v>
      </c>
      <c r="U45">
        <v>0</v>
      </c>
      <c r="V45" s="6">
        <v>3.550621709286367</v>
      </c>
    </row>
    <row r="46" spans="8:22" x14ac:dyDescent="0.35">
      <c r="H46" s="11" t="s">
        <v>54</v>
      </c>
      <c r="I46" s="5">
        <v>2.7688957776554654E-2</v>
      </c>
      <c r="J46">
        <v>0</v>
      </c>
      <c r="K46" s="5">
        <v>1.1276744071292752</v>
      </c>
      <c r="L46">
        <v>0</v>
      </c>
      <c r="M46" s="5">
        <v>7.3420346649018392E-2</v>
      </c>
      <c r="N46" s="5">
        <v>1.0159944198272322</v>
      </c>
      <c r="O46" s="5">
        <v>1.4580416294003369</v>
      </c>
      <c r="P46" s="13">
        <v>0.11354858366859186</v>
      </c>
      <c r="Q46">
        <v>2.6405735614283523E-2</v>
      </c>
      <c r="R46">
        <v>0</v>
      </c>
      <c r="S46">
        <v>0</v>
      </c>
      <c r="T46">
        <v>0</v>
      </c>
      <c r="U46">
        <v>0</v>
      </c>
      <c r="V46" s="6">
        <v>3.842774080065293</v>
      </c>
    </row>
    <row r="47" spans="8:22" x14ac:dyDescent="0.35">
      <c r="H47" s="11" t="s">
        <v>23</v>
      </c>
      <c r="I47" s="5">
        <v>9.2991853401298077E-2</v>
      </c>
      <c r="J47" s="5">
        <v>5.8217276699011951E-2</v>
      </c>
      <c r="K47" s="5">
        <v>0.61882027390919714</v>
      </c>
      <c r="L47" s="5">
        <v>0.2340103100929648</v>
      </c>
      <c r="M47" s="5">
        <v>0.14260065949869305</v>
      </c>
      <c r="N47" s="5">
        <v>0.35888998609531003</v>
      </c>
      <c r="O47" s="5">
        <v>0.90605808446308567</v>
      </c>
      <c r="P47" s="13">
        <v>7.7133391123674566E-2</v>
      </c>
      <c r="Q47">
        <v>3.4636900933464027E-2</v>
      </c>
      <c r="R47">
        <v>4.345188409985231E-2</v>
      </c>
      <c r="S47">
        <v>4.0728805500045602E-2</v>
      </c>
      <c r="T47">
        <v>0</v>
      </c>
      <c r="U47">
        <v>0</v>
      </c>
      <c r="V47" s="6">
        <v>2.6075394258165971</v>
      </c>
    </row>
    <row r="48" spans="8:22" x14ac:dyDescent="0.35">
      <c r="H48" s="11" t="s">
        <v>23</v>
      </c>
      <c r="I48" s="5">
        <v>0.14264679035397398</v>
      </c>
      <c r="J48" s="5">
        <v>0.15355873863611982</v>
      </c>
      <c r="K48" s="5">
        <v>0.66486125422270204</v>
      </c>
      <c r="L48" s="5">
        <v>0.27397645194181858</v>
      </c>
      <c r="M48" s="5">
        <v>0.14929110343004476</v>
      </c>
      <c r="N48" s="5">
        <v>0.40674410869730909</v>
      </c>
      <c r="O48" s="5">
        <v>0.94469689979658145</v>
      </c>
      <c r="P48" s="13">
        <v>8.0048855464277563E-2</v>
      </c>
      <c r="Q48">
        <v>3.6286665045421121E-2</v>
      </c>
      <c r="R48">
        <v>2.9537603616687298E-2</v>
      </c>
      <c r="S48">
        <v>1.0595826343974279E-2</v>
      </c>
      <c r="T48">
        <v>0</v>
      </c>
      <c r="U48">
        <v>0</v>
      </c>
      <c r="V48" s="6">
        <v>2.8922442975489102</v>
      </c>
    </row>
    <row r="49" spans="8:22" x14ac:dyDescent="0.35">
      <c r="H49" s="11" t="s">
        <v>23</v>
      </c>
      <c r="I49" s="5">
        <v>1.5326428531280533E-2</v>
      </c>
      <c r="J49" s="5">
        <v>6.7411848545897721E-3</v>
      </c>
      <c r="K49" s="5">
        <v>0.69823687959687886</v>
      </c>
      <c r="L49" s="5">
        <v>0.21517733255294177</v>
      </c>
      <c r="M49" s="5">
        <v>0.16608163779414836</v>
      </c>
      <c r="N49" s="5">
        <v>0.40175705311157833</v>
      </c>
      <c r="O49" s="5">
        <v>0.93471987299125692</v>
      </c>
      <c r="P49" s="13">
        <v>0.1185996585875269</v>
      </c>
      <c r="Q49">
        <v>1.0860508458778657E-2</v>
      </c>
      <c r="R49">
        <v>6.2349653054620587E-3</v>
      </c>
      <c r="S49">
        <v>4.5322645635574388E-3</v>
      </c>
      <c r="T49">
        <v>0</v>
      </c>
      <c r="U49">
        <v>0</v>
      </c>
      <c r="V49" s="6">
        <v>2.5782677863479995</v>
      </c>
    </row>
    <row r="50" spans="8:22" x14ac:dyDescent="0.35">
      <c r="H50" s="11" t="s">
        <v>55</v>
      </c>
      <c r="I50">
        <v>0</v>
      </c>
      <c r="J50">
        <v>0</v>
      </c>
      <c r="K50" s="5">
        <v>0.45347394384716194</v>
      </c>
      <c r="L50" s="5">
        <v>0.92058027418345889</v>
      </c>
      <c r="M50" s="5">
        <v>0.21497791343307637</v>
      </c>
      <c r="N50" s="5">
        <v>1.0108753033301943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6">
        <v>2.5999074347938915</v>
      </c>
    </row>
    <row r="51" spans="8:22" x14ac:dyDescent="0.35">
      <c r="H51" s="11" t="s">
        <v>55</v>
      </c>
      <c r="I51">
        <v>0</v>
      </c>
      <c r="J51">
        <v>0</v>
      </c>
      <c r="K51" s="5">
        <v>0.51847223527883202</v>
      </c>
      <c r="L51" s="5">
        <v>0.95259665452102416</v>
      </c>
      <c r="M51" s="5">
        <v>0.24594746050400679</v>
      </c>
      <c r="N51" s="5">
        <v>1.1183673060225623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6">
        <v>2.8353836563264254</v>
      </c>
    </row>
    <row r="52" spans="8:22" x14ac:dyDescent="0.35">
      <c r="H52" s="11" t="s">
        <v>55</v>
      </c>
      <c r="I52">
        <v>0</v>
      </c>
      <c r="J52">
        <v>0</v>
      </c>
      <c r="K52" s="5">
        <v>0.66627496717483914</v>
      </c>
      <c r="L52" s="5">
        <v>1.1866914520253316</v>
      </c>
      <c r="M52" s="5">
        <v>0.29809429277082328</v>
      </c>
      <c r="N52" s="5">
        <v>1.2137431169137665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6">
        <v>3.3648038288847602</v>
      </c>
    </row>
    <row r="53" spans="8:22" x14ac:dyDescent="0.35">
      <c r="H53" s="11" t="s">
        <v>24</v>
      </c>
      <c r="I53">
        <v>0</v>
      </c>
      <c r="J53">
        <v>0</v>
      </c>
      <c r="K53" s="5">
        <v>1.2167579864950134E-2</v>
      </c>
      <c r="L53">
        <v>0</v>
      </c>
      <c r="M53" s="5">
        <v>2.7164393021356565E-3</v>
      </c>
      <c r="N53" s="5">
        <v>5.9580866983060983E-3</v>
      </c>
      <c r="O53" s="13">
        <v>5.7289438622267243E-3</v>
      </c>
      <c r="P53" s="13">
        <v>5.4899908883781915E-3</v>
      </c>
      <c r="Q53">
        <v>1.1332764850303708E-3</v>
      </c>
      <c r="R53">
        <v>0</v>
      </c>
      <c r="S53">
        <v>0</v>
      </c>
      <c r="T53">
        <v>0</v>
      </c>
      <c r="U53">
        <v>0</v>
      </c>
      <c r="V53" s="6">
        <v>3.3194317101027181E-2</v>
      </c>
    </row>
    <row r="54" spans="8:22" x14ac:dyDescent="0.35">
      <c r="H54" s="11" t="s">
        <v>24</v>
      </c>
      <c r="I54">
        <v>0</v>
      </c>
      <c r="J54">
        <v>0</v>
      </c>
      <c r="K54" s="5">
        <v>6.3125495361947889E-3</v>
      </c>
      <c r="L54">
        <v>0</v>
      </c>
      <c r="M54" s="5">
        <v>2.2888177963008745E-3</v>
      </c>
      <c r="N54" s="5">
        <v>1.9009803051395198E-3</v>
      </c>
      <c r="O54" s="13">
        <v>3.5699146399577109E-3</v>
      </c>
      <c r="P54" s="13">
        <v>6.643592074152267E-3</v>
      </c>
      <c r="Q54">
        <v>1.0088924865421041E-3</v>
      </c>
      <c r="R54">
        <v>0</v>
      </c>
      <c r="S54">
        <v>0</v>
      </c>
      <c r="T54">
        <v>0</v>
      </c>
      <c r="U54">
        <v>0</v>
      </c>
      <c r="V54" s="6">
        <v>2.1724746838287262E-2</v>
      </c>
    </row>
    <row r="55" spans="8:22" x14ac:dyDescent="0.35">
      <c r="H55" s="11" t="s">
        <v>24</v>
      </c>
      <c r="I55">
        <v>0</v>
      </c>
      <c r="J55">
        <v>0</v>
      </c>
      <c r="K55" s="5">
        <v>1.8837784871650286E-2</v>
      </c>
      <c r="L55">
        <v>0</v>
      </c>
      <c r="M55" s="5">
        <v>8.1756442215023106E-3</v>
      </c>
      <c r="N55" s="5">
        <v>3.9010280886148598E-3</v>
      </c>
      <c r="O55" s="13">
        <v>3.275135787925279E-3</v>
      </c>
      <c r="P55" s="13">
        <v>3.6932352494220577E-3</v>
      </c>
      <c r="Q55">
        <v>2.9970956740259626E-3</v>
      </c>
      <c r="R55">
        <v>0</v>
      </c>
      <c r="S55">
        <v>0</v>
      </c>
      <c r="T55">
        <v>0</v>
      </c>
      <c r="U55">
        <v>0</v>
      </c>
      <c r="V55" s="6">
        <v>4.0879923893140754E-2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C149-1BEF-42CC-B4EF-8DC3A2FB9564}">
  <dimension ref="A1:K108"/>
  <sheetViews>
    <sheetView zoomScale="84" zoomScaleNormal="130" workbookViewId="0">
      <selection activeCell="C1" sqref="C1"/>
    </sheetView>
  </sheetViews>
  <sheetFormatPr defaultRowHeight="14.5" x14ac:dyDescent="0.35"/>
  <cols>
    <col min="1" max="1" width="18.453125" customWidth="1"/>
    <col min="3" max="3" width="11.81640625" bestFit="1" customWidth="1"/>
    <col min="5" max="5" width="10.453125" bestFit="1" customWidth="1"/>
    <col min="11" max="11" width="41.453125" customWidth="1"/>
  </cols>
  <sheetData>
    <row r="1" spans="1:6" x14ac:dyDescent="0.35">
      <c r="A1" t="s">
        <v>28</v>
      </c>
      <c r="B1" t="s">
        <v>152</v>
      </c>
      <c r="C1" t="s">
        <v>156</v>
      </c>
      <c r="D1" t="s">
        <v>155</v>
      </c>
      <c r="E1" t="s">
        <v>153</v>
      </c>
      <c r="F1" t="s">
        <v>154</v>
      </c>
    </row>
    <row r="2" spans="1:6" x14ac:dyDescent="0.35">
      <c r="A2" t="s">
        <v>4</v>
      </c>
      <c r="B2" s="6">
        <v>13.750000000000002</v>
      </c>
      <c r="C2" s="6">
        <v>0.74552984349293583</v>
      </c>
      <c r="D2" s="6">
        <v>0</v>
      </c>
      <c r="E2" s="6">
        <f t="shared" ref="E2:E55" si="0">SUM(C2+D2)</f>
        <v>0.74552984349293583</v>
      </c>
      <c r="F2" s="6">
        <v>30.225034004540383</v>
      </c>
    </row>
    <row r="3" spans="1:6" x14ac:dyDescent="0.35">
      <c r="A3" t="s">
        <v>4</v>
      </c>
      <c r="B3" s="6">
        <v>14.000000000000002</v>
      </c>
      <c r="C3" s="6">
        <v>0.62394527385018739</v>
      </c>
      <c r="D3" s="6">
        <v>0</v>
      </c>
      <c r="E3" s="6">
        <f t="shared" si="0"/>
        <v>0.62394527385018739</v>
      </c>
      <c r="F3" s="6">
        <v>22.670527105782224</v>
      </c>
    </row>
    <row r="4" spans="1:6" x14ac:dyDescent="0.35">
      <c r="A4" t="s">
        <v>4</v>
      </c>
      <c r="B4" s="6">
        <v>13.625000000000002</v>
      </c>
      <c r="C4" s="6">
        <v>0.88866375206272807</v>
      </c>
      <c r="D4" s="6">
        <v>0</v>
      </c>
      <c r="E4" s="6">
        <f t="shared" si="0"/>
        <v>0.88866375206272807</v>
      </c>
      <c r="F4" s="6">
        <v>28.826849429482127</v>
      </c>
    </row>
    <row r="5" spans="1:6" x14ac:dyDescent="0.35">
      <c r="A5" t="s">
        <v>4</v>
      </c>
      <c r="B5" s="6">
        <v>15.062499999999998</v>
      </c>
      <c r="C5" s="6"/>
      <c r="D5" s="6"/>
      <c r="E5" s="6"/>
      <c r="F5" s="6"/>
    </row>
    <row r="6" spans="1:6" x14ac:dyDescent="0.35">
      <c r="A6" t="s">
        <v>4</v>
      </c>
      <c r="B6" s="6">
        <v>15.562500000000004</v>
      </c>
      <c r="C6" s="6"/>
      <c r="D6" s="6"/>
      <c r="E6" s="6"/>
      <c r="F6" s="6"/>
    </row>
    <row r="7" spans="1:6" x14ac:dyDescent="0.35">
      <c r="A7" t="s">
        <v>78</v>
      </c>
      <c r="B7" s="6">
        <v>62.374999999999993</v>
      </c>
      <c r="C7" s="6"/>
      <c r="D7" s="6"/>
      <c r="E7" s="6"/>
      <c r="F7" s="6"/>
    </row>
    <row r="8" spans="1:6" x14ac:dyDescent="0.35">
      <c r="A8" t="s">
        <v>78</v>
      </c>
      <c r="B8" s="6">
        <v>62.500000000000014</v>
      </c>
      <c r="C8" s="6"/>
      <c r="D8" s="6"/>
      <c r="E8" s="6"/>
      <c r="F8" s="6"/>
    </row>
    <row r="9" spans="1:6" x14ac:dyDescent="0.35">
      <c r="A9" t="s">
        <v>78</v>
      </c>
      <c r="B9" s="6">
        <v>62.250000000000007</v>
      </c>
      <c r="C9" s="6"/>
      <c r="D9" s="6"/>
      <c r="E9" s="6"/>
      <c r="F9" s="6"/>
    </row>
    <row r="10" spans="1:6" x14ac:dyDescent="0.35">
      <c r="A10" t="s">
        <v>78</v>
      </c>
      <c r="B10" s="6">
        <v>61.624999999999986</v>
      </c>
      <c r="C10" s="6"/>
      <c r="D10" s="6"/>
      <c r="E10" s="6"/>
      <c r="F10" s="6"/>
    </row>
    <row r="11" spans="1:6" x14ac:dyDescent="0.35">
      <c r="A11" t="s">
        <v>78</v>
      </c>
      <c r="B11" s="6">
        <v>61.250000000000007</v>
      </c>
      <c r="C11" s="6"/>
      <c r="D11" s="6"/>
      <c r="E11" s="6"/>
      <c r="F11" s="6"/>
    </row>
    <row r="12" spans="1:6" x14ac:dyDescent="0.35">
      <c r="A12" t="s">
        <v>5</v>
      </c>
      <c r="B12" s="6">
        <v>14.5625</v>
      </c>
      <c r="C12" s="6">
        <v>1.919188841067885</v>
      </c>
      <c r="D12" s="6">
        <v>0</v>
      </c>
      <c r="E12" s="6">
        <f t="shared" si="0"/>
        <v>1.919188841067885</v>
      </c>
      <c r="F12" s="6">
        <v>58.423819342838129</v>
      </c>
    </row>
    <row r="13" spans="1:6" x14ac:dyDescent="0.35">
      <c r="A13" t="s">
        <v>5</v>
      </c>
      <c r="B13" s="6">
        <v>14.000000000000002</v>
      </c>
      <c r="C13" s="6">
        <v>1.5633055166933363</v>
      </c>
      <c r="D13" s="6">
        <v>0</v>
      </c>
      <c r="E13" s="6">
        <f t="shared" si="0"/>
        <v>1.5633055166933363</v>
      </c>
      <c r="F13" s="6">
        <v>37.784721254188447</v>
      </c>
    </row>
    <row r="14" spans="1:6" x14ac:dyDescent="0.35">
      <c r="A14" t="s">
        <v>5</v>
      </c>
      <c r="B14" s="6">
        <v>14.1875</v>
      </c>
      <c r="C14" s="6">
        <v>2.5830858251878257</v>
      </c>
      <c r="D14" s="6">
        <v>0</v>
      </c>
      <c r="E14" s="6">
        <f t="shared" si="0"/>
        <v>2.5830858251878257</v>
      </c>
      <c r="F14" s="6">
        <v>68.967375435179704</v>
      </c>
    </row>
    <row r="15" spans="1:6" x14ac:dyDescent="0.35">
      <c r="A15" t="s">
        <v>5</v>
      </c>
      <c r="B15" s="6">
        <v>14.374999999999998</v>
      </c>
      <c r="C15" s="6"/>
      <c r="D15" s="6"/>
      <c r="E15" s="6"/>
      <c r="F15" s="6"/>
    </row>
    <row r="16" spans="1:6" x14ac:dyDescent="0.35">
      <c r="A16" t="s">
        <v>5</v>
      </c>
      <c r="B16" s="6">
        <v>14.374999999999998</v>
      </c>
      <c r="C16" s="6"/>
      <c r="D16" s="6"/>
      <c r="E16" s="6"/>
      <c r="F16" s="6"/>
    </row>
    <row r="17" spans="1:6" x14ac:dyDescent="0.35">
      <c r="A17" t="s">
        <v>9</v>
      </c>
      <c r="B17" s="6">
        <v>0.25</v>
      </c>
      <c r="C17" s="6">
        <v>0</v>
      </c>
      <c r="D17" s="6">
        <v>0</v>
      </c>
      <c r="E17" s="6">
        <v>0</v>
      </c>
      <c r="F17" s="6">
        <v>0.50014252148795724</v>
      </c>
    </row>
    <row r="18" spans="1:6" x14ac:dyDescent="0.35">
      <c r="A18" t="s">
        <v>9</v>
      </c>
      <c r="B18" s="6">
        <v>0.3125</v>
      </c>
      <c r="C18" s="6">
        <v>0</v>
      </c>
      <c r="D18" s="6">
        <v>0</v>
      </c>
      <c r="E18" s="6">
        <v>0</v>
      </c>
      <c r="F18" s="6">
        <v>0.24203247007909889</v>
      </c>
    </row>
    <row r="19" spans="1:6" x14ac:dyDescent="0.35">
      <c r="A19" t="s">
        <v>9</v>
      </c>
      <c r="B19" s="6">
        <v>0.625</v>
      </c>
      <c r="C19" s="6">
        <v>0</v>
      </c>
      <c r="D19" s="6">
        <v>0</v>
      </c>
      <c r="E19" s="6">
        <v>0</v>
      </c>
      <c r="F19" s="6">
        <v>0.22110000773896549</v>
      </c>
    </row>
    <row r="20" spans="1:6" x14ac:dyDescent="0.35">
      <c r="A20" t="s">
        <v>9</v>
      </c>
      <c r="B20" s="6">
        <v>0.6875</v>
      </c>
      <c r="C20" s="6"/>
      <c r="D20" s="6"/>
      <c r="E20" s="6"/>
      <c r="F20" s="6"/>
    </row>
    <row r="21" spans="1:6" x14ac:dyDescent="0.35">
      <c r="A21" t="s">
        <v>9</v>
      </c>
      <c r="B21" s="6">
        <v>0.5</v>
      </c>
      <c r="C21" s="6"/>
      <c r="D21" s="6"/>
      <c r="E21" s="6"/>
      <c r="F21" s="6"/>
    </row>
    <row r="22" spans="1:6" x14ac:dyDescent="0.35">
      <c r="A22" t="s">
        <v>149</v>
      </c>
      <c r="B22" s="6">
        <v>15.187500000000002</v>
      </c>
      <c r="C22" s="6">
        <v>1.0617362779290758</v>
      </c>
      <c r="D22" s="6">
        <v>0</v>
      </c>
      <c r="E22" s="6">
        <f t="shared" si="0"/>
        <v>1.0617362779290758</v>
      </c>
      <c r="F22" s="6">
        <v>11.289980321802185</v>
      </c>
    </row>
    <row r="23" spans="1:6" x14ac:dyDescent="0.35">
      <c r="A23" t="s">
        <v>149</v>
      </c>
      <c r="B23" s="6">
        <v>13.6875</v>
      </c>
      <c r="C23" s="6">
        <v>1.0229449105217721</v>
      </c>
      <c r="D23" s="6">
        <v>0</v>
      </c>
      <c r="E23" s="6">
        <f t="shared" si="0"/>
        <v>1.0229449105217721</v>
      </c>
      <c r="F23" s="6">
        <v>10.654542613354501</v>
      </c>
    </row>
    <row r="24" spans="1:6" x14ac:dyDescent="0.35">
      <c r="A24" t="s">
        <v>149</v>
      </c>
      <c r="B24" s="6">
        <v>13</v>
      </c>
      <c r="C24" s="6">
        <v>1.7951509911646788</v>
      </c>
      <c r="D24" s="6">
        <v>0</v>
      </c>
      <c r="E24" s="6">
        <f t="shared" si="0"/>
        <v>1.7951509911646788</v>
      </c>
      <c r="F24" s="6">
        <v>15.662283260473366</v>
      </c>
    </row>
    <row r="25" spans="1:6" x14ac:dyDescent="0.35">
      <c r="A25" t="s">
        <v>149</v>
      </c>
      <c r="B25" s="6">
        <v>15</v>
      </c>
      <c r="C25" s="6"/>
      <c r="D25" s="6"/>
      <c r="E25" s="6"/>
      <c r="F25" s="6"/>
    </row>
    <row r="26" spans="1:6" x14ac:dyDescent="0.35">
      <c r="A26" t="s">
        <v>149</v>
      </c>
      <c r="B26" s="6">
        <v>13.5625</v>
      </c>
      <c r="C26" s="6"/>
      <c r="D26" s="6"/>
      <c r="E26" s="6"/>
      <c r="F26" s="6"/>
    </row>
    <row r="27" spans="1:6" x14ac:dyDescent="0.35">
      <c r="A27" t="s">
        <v>6</v>
      </c>
      <c r="B27" s="6">
        <v>86</v>
      </c>
      <c r="C27" s="6">
        <v>1.0470037340445323E-2</v>
      </c>
      <c r="D27" s="6">
        <v>0</v>
      </c>
      <c r="E27" s="6">
        <f t="shared" si="0"/>
        <v>1.0470037340445323E-2</v>
      </c>
      <c r="F27" s="6">
        <v>2.3535802216349366</v>
      </c>
    </row>
    <row r="28" spans="1:6" x14ac:dyDescent="0.35">
      <c r="A28" t="s">
        <v>6</v>
      </c>
      <c r="B28" s="6">
        <v>85.812499999999986</v>
      </c>
      <c r="C28" s="6">
        <v>8.3219762207695624E-3</v>
      </c>
      <c r="D28" s="6">
        <v>0</v>
      </c>
      <c r="E28" s="6">
        <f t="shared" si="0"/>
        <v>8.3219762207695624E-3</v>
      </c>
      <c r="F28" s="6">
        <v>1.6323787708052562</v>
      </c>
    </row>
    <row r="29" spans="1:6" x14ac:dyDescent="0.35">
      <c r="A29" t="s">
        <v>6</v>
      </c>
      <c r="B29" s="6">
        <v>85.75</v>
      </c>
      <c r="C29" s="6">
        <v>1.3017046864639979E-2</v>
      </c>
      <c r="D29" s="6">
        <v>0</v>
      </c>
      <c r="E29" s="6">
        <f t="shared" si="0"/>
        <v>1.3017046864639979E-2</v>
      </c>
      <c r="F29" s="6">
        <v>1.8479750599973086</v>
      </c>
    </row>
    <row r="30" spans="1:6" x14ac:dyDescent="0.35">
      <c r="A30" t="s">
        <v>6</v>
      </c>
      <c r="B30" s="6">
        <v>85.9375</v>
      </c>
      <c r="C30" s="6"/>
      <c r="D30" s="6"/>
      <c r="E30" s="6"/>
      <c r="F30" s="6"/>
    </row>
    <row r="31" spans="1:6" x14ac:dyDescent="0.35">
      <c r="A31" t="s">
        <v>6</v>
      </c>
      <c r="B31" s="6">
        <v>86.500000000000014</v>
      </c>
      <c r="C31" s="6"/>
      <c r="D31" s="6"/>
      <c r="E31" s="6"/>
      <c r="F31" s="6"/>
    </row>
    <row r="32" spans="1:6" x14ac:dyDescent="0.35">
      <c r="A32" t="s">
        <v>8</v>
      </c>
      <c r="B32" s="6">
        <v>5.25</v>
      </c>
      <c r="C32" s="6">
        <v>0.33942383770226514</v>
      </c>
      <c r="D32" s="6">
        <v>0.82486071522599891</v>
      </c>
      <c r="E32" s="6">
        <f>SUM(C32+D32)</f>
        <v>1.1642845529282639</v>
      </c>
      <c r="F32" s="6">
        <v>5.8229114048002053</v>
      </c>
    </row>
    <row r="33" spans="1:6" x14ac:dyDescent="0.35">
      <c r="A33" t="s">
        <v>8</v>
      </c>
      <c r="B33" s="6">
        <v>5.4374999999999991</v>
      </c>
      <c r="C33" s="6">
        <v>0.33285079550914337</v>
      </c>
      <c r="D33" s="6">
        <v>0.82574700918402755</v>
      </c>
      <c r="E33" s="6">
        <f t="shared" si="0"/>
        <v>1.1585978046931709</v>
      </c>
      <c r="F33" s="6">
        <v>5.877409275122325</v>
      </c>
    </row>
    <row r="34" spans="1:6" x14ac:dyDescent="0.35">
      <c r="A34" t="s">
        <v>8</v>
      </c>
      <c r="B34" s="6">
        <v>5.5</v>
      </c>
      <c r="C34" s="6">
        <v>0.51727790387019634</v>
      </c>
      <c r="D34" s="6">
        <v>0.63715422391847687</v>
      </c>
      <c r="E34" s="6">
        <f t="shared" si="0"/>
        <v>1.1544321277886733</v>
      </c>
      <c r="F34" s="6">
        <v>8.5905791302185932</v>
      </c>
    </row>
    <row r="35" spans="1:6" x14ac:dyDescent="0.35">
      <c r="A35" t="s">
        <v>8</v>
      </c>
      <c r="B35" s="6">
        <v>5.1249999999999991</v>
      </c>
      <c r="C35" s="6">
        <v>0.29199920112273758</v>
      </c>
      <c r="D35" s="6">
        <v>0.72019058348905429</v>
      </c>
      <c r="E35" s="6">
        <f t="shared" si="0"/>
        <v>1.0121897846117918</v>
      </c>
      <c r="F35" s="6">
        <v>5.164370610429029</v>
      </c>
    </row>
    <row r="36" spans="1:6" x14ac:dyDescent="0.35">
      <c r="A36" t="s">
        <v>8</v>
      </c>
      <c r="B36" s="6">
        <v>5.3125</v>
      </c>
      <c r="C36" s="6"/>
      <c r="D36" s="6"/>
      <c r="E36" s="6"/>
      <c r="F36" s="6"/>
    </row>
    <row r="37" spans="1:6" x14ac:dyDescent="0.35">
      <c r="A37" t="s">
        <v>74</v>
      </c>
      <c r="B37" s="6">
        <v>44.25</v>
      </c>
      <c r="C37" s="6">
        <v>0</v>
      </c>
      <c r="D37" s="6">
        <v>0</v>
      </c>
      <c r="E37" s="6">
        <f t="shared" si="0"/>
        <v>0</v>
      </c>
      <c r="F37" s="6">
        <v>8.0925826800821241</v>
      </c>
    </row>
    <row r="38" spans="1:6" x14ac:dyDescent="0.35">
      <c r="A38" t="s">
        <v>74</v>
      </c>
      <c r="B38" s="6">
        <v>44.499999999999993</v>
      </c>
      <c r="C38" s="6">
        <v>0</v>
      </c>
      <c r="D38" s="6">
        <v>0</v>
      </c>
      <c r="E38" s="6">
        <f t="shared" si="0"/>
        <v>0</v>
      </c>
      <c r="F38" s="6">
        <v>9.1882545705345642</v>
      </c>
    </row>
    <row r="39" spans="1:6" x14ac:dyDescent="0.35">
      <c r="A39" t="s">
        <v>74</v>
      </c>
      <c r="B39" s="6">
        <v>43.499999999999993</v>
      </c>
      <c r="C39" s="6">
        <v>0</v>
      </c>
      <c r="D39" s="6">
        <v>0</v>
      </c>
      <c r="E39" s="6">
        <f t="shared" si="0"/>
        <v>0</v>
      </c>
      <c r="F39" s="6">
        <v>9.2958549016227412</v>
      </c>
    </row>
    <row r="40" spans="1:6" x14ac:dyDescent="0.35">
      <c r="A40" t="s">
        <v>74</v>
      </c>
      <c r="B40" s="6">
        <v>38.625</v>
      </c>
      <c r="C40" s="6"/>
      <c r="D40" s="6"/>
      <c r="E40" s="6"/>
      <c r="F40" s="6"/>
    </row>
    <row r="41" spans="1:6" x14ac:dyDescent="0.35">
      <c r="A41" t="s">
        <v>74</v>
      </c>
      <c r="B41" s="6">
        <v>45.000000000000007</v>
      </c>
      <c r="C41" s="6"/>
      <c r="D41" s="6"/>
      <c r="E41" s="6"/>
      <c r="F41" s="6"/>
    </row>
    <row r="42" spans="1:6" x14ac:dyDescent="0.35">
      <c r="A42" t="s">
        <v>65</v>
      </c>
      <c r="B42" s="6">
        <v>31.4375</v>
      </c>
      <c r="C42" s="6"/>
      <c r="D42" s="6"/>
      <c r="E42" s="6"/>
      <c r="F42" s="6"/>
    </row>
    <row r="43" spans="1:6" x14ac:dyDescent="0.35">
      <c r="A43" t="s">
        <v>65</v>
      </c>
      <c r="B43" s="6">
        <v>30.6875</v>
      </c>
      <c r="C43" s="6"/>
      <c r="D43" s="6"/>
      <c r="E43" s="6"/>
      <c r="F43" s="6"/>
    </row>
    <row r="44" spans="1:6" x14ac:dyDescent="0.35">
      <c r="A44" t="s">
        <v>65</v>
      </c>
      <c r="B44" s="6">
        <v>30.562499999999996</v>
      </c>
      <c r="C44" s="6"/>
      <c r="D44" s="6"/>
      <c r="E44" s="6"/>
      <c r="F44" s="6"/>
    </row>
    <row r="45" spans="1:6" x14ac:dyDescent="0.35">
      <c r="A45" t="s">
        <v>65</v>
      </c>
      <c r="B45" s="6">
        <v>31.312500000000004</v>
      </c>
      <c r="C45" s="6"/>
      <c r="D45" s="6"/>
      <c r="E45" s="6"/>
      <c r="F45" s="6"/>
    </row>
    <row r="46" spans="1:6" x14ac:dyDescent="0.35">
      <c r="A46" t="s">
        <v>65</v>
      </c>
      <c r="B46" s="6">
        <v>30.625000000000004</v>
      </c>
      <c r="C46" s="6"/>
      <c r="D46" s="6"/>
      <c r="E46" s="6"/>
      <c r="F46" s="6"/>
    </row>
    <row r="47" spans="1:6" x14ac:dyDescent="0.35">
      <c r="A47" t="s">
        <v>7</v>
      </c>
      <c r="B47" s="6"/>
      <c r="C47" s="6">
        <v>9.0539859155611677E-2</v>
      </c>
      <c r="D47" s="6">
        <v>0</v>
      </c>
      <c r="E47" s="6">
        <f t="shared" si="0"/>
        <v>9.0539859155611677E-2</v>
      </c>
      <c r="F47" s="6">
        <v>7.2130997226575344</v>
      </c>
    </row>
    <row r="48" spans="1:6" x14ac:dyDescent="0.35">
      <c r="A48" t="s">
        <v>7</v>
      </c>
      <c r="B48" s="6"/>
      <c r="C48" s="6">
        <v>7.8359563573407343E-2</v>
      </c>
      <c r="D48" s="6">
        <v>0</v>
      </c>
      <c r="E48" s="6">
        <f t="shared" si="0"/>
        <v>7.8359563573407343E-2</v>
      </c>
      <c r="F48" s="6">
        <v>5.8400488396442594</v>
      </c>
    </row>
    <row r="49" spans="1:6" x14ac:dyDescent="0.35">
      <c r="A49" t="s">
        <v>7</v>
      </c>
      <c r="B49" s="6"/>
      <c r="C49" s="6">
        <v>0.1835321523607327</v>
      </c>
      <c r="D49" s="6">
        <v>0</v>
      </c>
      <c r="E49" s="6">
        <f t="shared" si="0"/>
        <v>0.1835321523607327</v>
      </c>
      <c r="F49" s="6">
        <v>13.115303050223986</v>
      </c>
    </row>
    <row r="50" spans="1:6" x14ac:dyDescent="0.35">
      <c r="A50" s="9" t="s">
        <v>146</v>
      </c>
      <c r="B50" s="6"/>
      <c r="C50" s="6">
        <v>0.64937717685686669</v>
      </c>
      <c r="D50" s="6">
        <v>0</v>
      </c>
      <c r="E50" s="6">
        <f t="shared" si="0"/>
        <v>0.64937717685686669</v>
      </c>
      <c r="F50" s="6">
        <v>10.802988596298482</v>
      </c>
    </row>
    <row r="51" spans="1:6" x14ac:dyDescent="0.35">
      <c r="A51" s="9" t="s">
        <v>146</v>
      </c>
      <c r="B51" s="6"/>
      <c r="C51" s="6">
        <v>0.71119382732090264</v>
      </c>
      <c r="D51" s="6">
        <v>0</v>
      </c>
      <c r="E51" s="6">
        <f t="shared" si="0"/>
        <v>0.71119382732090264</v>
      </c>
      <c r="F51" s="6">
        <v>12.185325180565947</v>
      </c>
    </row>
    <row r="52" spans="1:6" x14ac:dyDescent="0.35">
      <c r="A52" s="9" t="s">
        <v>146</v>
      </c>
      <c r="B52" s="6"/>
      <c r="C52" s="6">
        <v>1.0193402942306076</v>
      </c>
      <c r="D52" s="6">
        <v>0</v>
      </c>
      <c r="E52" s="6">
        <f t="shared" si="0"/>
        <v>1.0193402942306076</v>
      </c>
      <c r="F52" s="6">
        <v>14.455409024676211</v>
      </c>
    </row>
    <row r="53" spans="1:6" x14ac:dyDescent="0.35">
      <c r="A53" t="s">
        <v>80</v>
      </c>
      <c r="B53" s="6"/>
      <c r="C53" s="6">
        <v>1.8232083899972829E-2</v>
      </c>
      <c r="D53" s="6">
        <v>0</v>
      </c>
      <c r="E53" s="6">
        <f t="shared" si="0"/>
        <v>1.8232083899972829E-2</v>
      </c>
      <c r="F53" s="6">
        <v>0.14015769323832503</v>
      </c>
    </row>
    <row r="54" spans="1:6" x14ac:dyDescent="0.35">
      <c r="A54" t="s">
        <v>80</v>
      </c>
      <c r="B54" s="6"/>
      <c r="C54" s="6">
        <v>2.1324303316967021E-2</v>
      </c>
      <c r="D54" s="6">
        <v>0</v>
      </c>
      <c r="E54" s="6">
        <f t="shared" si="0"/>
        <v>2.1324303316967021E-2</v>
      </c>
      <c r="F54" s="6">
        <v>0.28074227223225978</v>
      </c>
    </row>
    <row r="55" spans="1:6" x14ac:dyDescent="0.35">
      <c r="A55" t="s">
        <v>80</v>
      </c>
      <c r="B55" s="6"/>
      <c r="C55" s="6">
        <v>2.759034176858979E-2</v>
      </c>
      <c r="D55" s="6">
        <v>0</v>
      </c>
      <c r="E55" s="6">
        <f t="shared" si="0"/>
        <v>2.759034176858979E-2</v>
      </c>
      <c r="F55" s="6">
        <v>0.35648371467683782</v>
      </c>
    </row>
    <row r="90" spans="11:11" x14ac:dyDescent="0.35">
      <c r="K90" s="4"/>
    </row>
    <row r="91" spans="11:11" x14ac:dyDescent="0.35">
      <c r="K91" s="4"/>
    </row>
    <row r="92" spans="11:11" x14ac:dyDescent="0.35">
      <c r="K92" s="4"/>
    </row>
    <row r="97" spans="11:11" x14ac:dyDescent="0.35">
      <c r="K97" s="4"/>
    </row>
    <row r="98" spans="11:11" x14ac:dyDescent="0.35">
      <c r="K98" s="4"/>
    </row>
    <row r="99" spans="11:11" x14ac:dyDescent="0.35">
      <c r="K99" s="4"/>
    </row>
    <row r="100" spans="11:11" x14ac:dyDescent="0.35">
      <c r="K100" s="4"/>
    </row>
    <row r="101" spans="11:11" x14ac:dyDescent="0.35">
      <c r="K101" s="4"/>
    </row>
    <row r="102" spans="11:11" x14ac:dyDescent="0.35">
      <c r="K102" s="4"/>
    </row>
    <row r="103" spans="11:11" x14ac:dyDescent="0.35">
      <c r="K103" s="4"/>
    </row>
    <row r="104" spans="11:11" x14ac:dyDescent="0.35">
      <c r="K104" s="4"/>
    </row>
    <row r="105" spans="11:11" x14ac:dyDescent="0.35">
      <c r="K105" s="4"/>
    </row>
    <row r="106" spans="11:11" x14ac:dyDescent="0.35">
      <c r="K106" s="4"/>
    </row>
    <row r="107" spans="11:11" x14ac:dyDescent="0.35">
      <c r="K107" s="4"/>
    </row>
    <row r="108" spans="11:11" x14ac:dyDescent="0.35">
      <c r="K108" s="4"/>
    </row>
  </sheetData>
  <sortState xmlns:xlrd2="http://schemas.microsoft.com/office/spreadsheetml/2017/richdata2" ref="A2:B46">
    <sortCondition ref="A2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raw_data_simplified</vt:lpstr>
      <vt:lpstr>Treatment composition</vt:lpstr>
      <vt:lpstr>Raw - food FA</vt:lpstr>
      <vt:lpstr>food_protein_fa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</dc:creator>
  <cp:lastModifiedBy>Hannah Sørine Gerlich</cp:lastModifiedBy>
  <dcterms:created xsi:type="dcterms:W3CDTF">2020-10-19T23:28:47Z</dcterms:created>
  <dcterms:modified xsi:type="dcterms:W3CDTF">2024-11-25T12:26:43Z</dcterms:modified>
</cp:coreProperties>
</file>